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bazua/bza-reports/"/>
    </mc:Choice>
  </mc:AlternateContent>
  <xr:revisionPtr revIDLastSave="0" documentId="13_ncr:1_{3B6C31B1-2EB2-F840-B376-18D78FA809B5}" xr6:coauthVersionLast="47" xr6:coauthVersionMax="47" xr10:uidLastSave="{00000000-0000-0000-0000-000000000000}"/>
  <bookViews>
    <workbookView xWindow="0" yWindow="820" windowWidth="30240" windowHeight="17480" xr2:uid="{A69E99B4-FD75-534F-A443-AF5D6F49D11E}"/>
  </bookViews>
  <sheets>
    <sheet name="Hoja1" sheetId="1" r:id="rId1"/>
    <sheet name="analisis convertipap" sheetId="5" r:id="rId2"/>
    <sheet name="Hoja4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1" i="1" l="1"/>
  <c r="O206" i="1"/>
  <c r="AB205" i="1"/>
  <c r="AC205" i="1" s="1"/>
  <c r="AD205" i="1" s="1"/>
  <c r="W205" i="1"/>
  <c r="AB204" i="1"/>
  <c r="AC204" i="1" s="1"/>
  <c r="AD204" i="1" s="1"/>
  <c r="W204" i="1"/>
  <c r="AB203" i="1"/>
  <c r="AC203" i="1" s="1"/>
  <c r="AD203" i="1" s="1"/>
  <c r="W203" i="1"/>
  <c r="W200" i="1"/>
  <c r="W201" i="1"/>
  <c r="W202" i="1"/>
  <c r="AF274" i="1"/>
  <c r="AQ234" i="1"/>
  <c r="AQ235" i="1"/>
  <c r="AQ233" i="1"/>
  <c r="AQ232" i="1"/>
  <c r="AQ236" i="1"/>
  <c r="AB202" i="1"/>
  <c r="AC202" i="1" s="1"/>
  <c r="AB201" i="1"/>
  <c r="AC201" i="1" s="1"/>
  <c r="AB200" i="1"/>
  <c r="AC200" i="1" s="1"/>
  <c r="AB199" i="1"/>
  <c r="AC199" i="1" s="1"/>
  <c r="W199" i="1"/>
  <c r="AB198" i="1"/>
  <c r="AC198" i="1" s="1"/>
  <c r="W198" i="1"/>
  <c r="AB197" i="1"/>
  <c r="AC197" i="1" s="1"/>
  <c r="W197" i="1"/>
  <c r="AB196" i="1"/>
  <c r="AC196" i="1" s="1"/>
  <c r="W196" i="1"/>
  <c r="AB195" i="1"/>
  <c r="AC195" i="1" s="1"/>
  <c r="W195" i="1"/>
  <c r="AB194" i="1"/>
  <c r="AC194" i="1" s="1"/>
  <c r="W194" i="1"/>
  <c r="V84" i="1"/>
  <c r="R67" i="1"/>
  <c r="AF273" i="1"/>
  <c r="AB191" i="1"/>
  <c r="AC191" i="1" s="1"/>
  <c r="W191" i="1"/>
  <c r="O193" i="1"/>
  <c r="AB190" i="1"/>
  <c r="AC190" i="1" s="1"/>
  <c r="AB188" i="1"/>
  <c r="AC188" i="1"/>
  <c r="W188" i="1"/>
  <c r="W189" i="1"/>
  <c r="W190" i="1"/>
  <c r="AB192" i="1"/>
  <c r="AC192" i="1" s="1"/>
  <c r="W192" i="1"/>
  <c r="AB189" i="1"/>
  <c r="AC189" i="1" s="1"/>
  <c r="AB187" i="1"/>
  <c r="AC187" i="1" s="1"/>
  <c r="W187" i="1"/>
  <c r="AB186" i="1"/>
  <c r="AC186" i="1" s="1"/>
  <c r="W186" i="1"/>
  <c r="AB185" i="1"/>
  <c r="AC185" i="1" s="1"/>
  <c r="W185" i="1"/>
  <c r="AB184" i="1"/>
  <c r="AC184" i="1" s="1"/>
  <c r="W184" i="1"/>
  <c r="AC206" i="1" l="1"/>
  <c r="W206" i="1"/>
  <c r="AE274" i="1" s="1"/>
  <c r="AQ238" i="1"/>
  <c r="AD202" i="1"/>
  <c r="AD198" i="1"/>
  <c r="AD201" i="1"/>
  <c r="AD200" i="1"/>
  <c r="AD199" i="1"/>
  <c r="AD197" i="1"/>
  <c r="AD196" i="1"/>
  <c r="AD195" i="1"/>
  <c r="AD194" i="1"/>
  <c r="AD191" i="1"/>
  <c r="AD186" i="1"/>
  <c r="AD188" i="1"/>
  <c r="AD190" i="1"/>
  <c r="AD192" i="1"/>
  <c r="AD187" i="1"/>
  <c r="AD185" i="1"/>
  <c r="AD189" i="1"/>
  <c r="W193" i="1"/>
  <c r="AC193" i="1"/>
  <c r="AD184" i="1"/>
  <c r="AD206" i="1" l="1"/>
  <c r="AD193" i="1"/>
  <c r="O183" i="1"/>
  <c r="AB182" i="1"/>
  <c r="AC182" i="1" s="1"/>
  <c r="W182" i="1"/>
  <c r="AB181" i="1"/>
  <c r="AC181" i="1" s="1"/>
  <c r="W181" i="1"/>
  <c r="AB180" i="1"/>
  <c r="AC180" i="1" s="1"/>
  <c r="W180" i="1"/>
  <c r="AB179" i="1"/>
  <c r="AC179" i="1" s="1"/>
  <c r="W179" i="1"/>
  <c r="AB178" i="1"/>
  <c r="AC178" i="1" s="1"/>
  <c r="W178" i="1"/>
  <c r="AB177" i="1"/>
  <c r="AC177" i="1" s="1"/>
  <c r="W177" i="1"/>
  <c r="O176" i="1"/>
  <c r="AB175" i="1"/>
  <c r="AC175" i="1" s="1"/>
  <c r="W175" i="1"/>
  <c r="AB174" i="1"/>
  <c r="AC174" i="1" s="1"/>
  <c r="W174" i="1"/>
  <c r="AB173" i="1"/>
  <c r="AC173" i="1" s="1"/>
  <c r="W173" i="1"/>
  <c r="AB172" i="1"/>
  <c r="AC172" i="1" s="1"/>
  <c r="W172" i="1"/>
  <c r="AB171" i="1"/>
  <c r="AC171" i="1" s="1"/>
  <c r="W171" i="1"/>
  <c r="AB170" i="1"/>
  <c r="AC170" i="1" s="1"/>
  <c r="W170" i="1"/>
  <c r="H28" i="5"/>
  <c r="H27" i="5"/>
  <c r="H22" i="5"/>
  <c r="H21" i="5"/>
  <c r="J27" i="5"/>
  <c r="J28" i="5" s="1"/>
  <c r="I27" i="5"/>
  <c r="I28" i="5" s="1"/>
  <c r="G27" i="5"/>
  <c r="G28" i="5" s="1"/>
  <c r="F27" i="5"/>
  <c r="F28" i="5" s="1"/>
  <c r="E27" i="5"/>
  <c r="E28" i="5" s="1"/>
  <c r="J21" i="5"/>
  <c r="J22" i="5" s="1"/>
  <c r="I21" i="5"/>
  <c r="I22" i="5" s="1"/>
  <c r="G21" i="5"/>
  <c r="G22" i="5" s="1"/>
  <c r="F21" i="5"/>
  <c r="F22" i="5" s="1"/>
  <c r="E21" i="5"/>
  <c r="E22" i="5" s="1"/>
  <c r="D27" i="5"/>
  <c r="D28" i="5" s="1"/>
  <c r="D21" i="5"/>
  <c r="D22" i="5" s="1"/>
  <c r="D9" i="5"/>
  <c r="D10" i="5" s="1"/>
  <c r="AF275" i="1"/>
  <c r="AB272" i="1"/>
  <c r="G11" i="4"/>
  <c r="F14" i="4"/>
  <c r="F13" i="4"/>
  <c r="F12" i="4"/>
  <c r="F11" i="4"/>
  <c r="AD178" i="1" l="1"/>
  <c r="AD182" i="1"/>
  <c r="AD181" i="1"/>
  <c r="AD180" i="1"/>
  <c r="AD179" i="1"/>
  <c r="W183" i="1"/>
  <c r="AC183" i="1"/>
  <c r="AD177" i="1"/>
  <c r="AD172" i="1"/>
  <c r="AD171" i="1"/>
  <c r="AD175" i="1"/>
  <c r="AD173" i="1"/>
  <c r="AD174" i="1"/>
  <c r="W176" i="1"/>
  <c r="AD170" i="1"/>
  <c r="AC176" i="1"/>
  <c r="D11" i="5"/>
  <c r="AD183" i="1" l="1"/>
  <c r="AD176" i="1"/>
  <c r="O169" i="1"/>
  <c r="AB168" i="1"/>
  <c r="AC168" i="1" s="1"/>
  <c r="W168" i="1"/>
  <c r="AB167" i="1"/>
  <c r="AC167" i="1" s="1"/>
  <c r="W167" i="1"/>
  <c r="AB166" i="1"/>
  <c r="AC166" i="1" s="1"/>
  <c r="W166" i="1"/>
  <c r="AB165" i="1"/>
  <c r="AC165" i="1" s="1"/>
  <c r="W165" i="1"/>
  <c r="AB164" i="1"/>
  <c r="AC164" i="1" s="1"/>
  <c r="W164" i="1"/>
  <c r="AB163" i="1"/>
  <c r="AC163" i="1" s="1"/>
  <c r="W163" i="1"/>
  <c r="AB162" i="1"/>
  <c r="AC162" i="1" s="1"/>
  <c r="W162" i="1"/>
  <c r="H17" i="4"/>
  <c r="H18" i="4"/>
  <c r="H19" i="4"/>
  <c r="H20" i="4"/>
  <c r="M17" i="4"/>
  <c r="M18" i="4"/>
  <c r="M19" i="4"/>
  <c r="K17" i="4"/>
  <c r="K18" i="4"/>
  <c r="K19" i="4"/>
  <c r="K20" i="4"/>
  <c r="M20" i="4" s="1"/>
  <c r="J20" i="4"/>
  <c r="J19" i="4"/>
  <c r="J18" i="4"/>
  <c r="J17" i="4"/>
  <c r="F19" i="4"/>
  <c r="F18" i="4"/>
  <c r="G18" i="4" s="1"/>
  <c r="F17" i="4"/>
  <c r="J14" i="4"/>
  <c r="G14" i="4"/>
  <c r="K14" i="4" s="1"/>
  <c r="M14" i="4" s="1"/>
  <c r="J13" i="4"/>
  <c r="J12" i="4"/>
  <c r="J11" i="4"/>
  <c r="F20" i="4"/>
  <c r="G12" i="4"/>
  <c r="K12" i="4" s="1"/>
  <c r="M12" i="4" s="1"/>
  <c r="G20" i="4"/>
  <c r="G19" i="4"/>
  <c r="G17" i="4"/>
  <c r="G13" i="4"/>
  <c r="H13" i="4" s="1"/>
  <c r="F6" i="4"/>
  <c r="F5" i="4"/>
  <c r="G5" i="4" s="1"/>
  <c r="F7" i="4"/>
  <c r="G7" i="4" s="1"/>
  <c r="F8" i="4"/>
  <c r="G8" i="4" s="1"/>
  <c r="G6" i="4"/>
  <c r="AD168" i="1" l="1"/>
  <c r="H12" i="4"/>
  <c r="H14" i="4"/>
  <c r="K13" i="4"/>
  <c r="M13" i="4" s="1"/>
  <c r="K11" i="4"/>
  <c r="M11" i="4" s="1"/>
  <c r="AD166" i="1"/>
  <c r="AD163" i="1"/>
  <c r="AD167" i="1"/>
  <c r="AD164" i="1"/>
  <c r="W169" i="1"/>
  <c r="AD165" i="1"/>
  <c r="AC169" i="1"/>
  <c r="AD162" i="1"/>
  <c r="O161" i="1"/>
  <c r="AB160" i="1"/>
  <c r="AC160" i="1" s="1"/>
  <c r="W160" i="1"/>
  <c r="I160" i="1"/>
  <c r="AB159" i="1"/>
  <c r="AC159" i="1" s="1"/>
  <c r="W159" i="1"/>
  <c r="I159" i="1"/>
  <c r="AB158" i="1"/>
  <c r="AC158" i="1" s="1"/>
  <c r="W158" i="1"/>
  <c r="I158" i="1"/>
  <c r="AB157" i="1"/>
  <c r="AC157" i="1" s="1"/>
  <c r="W157" i="1"/>
  <c r="I157" i="1"/>
  <c r="AB156" i="1"/>
  <c r="AC156" i="1" s="1"/>
  <c r="W156" i="1"/>
  <c r="I156" i="1"/>
  <c r="AB155" i="1"/>
  <c r="AC155" i="1" s="1"/>
  <c r="W155" i="1"/>
  <c r="I155" i="1"/>
  <c r="AB154" i="1"/>
  <c r="AC154" i="1" s="1"/>
  <c r="W154" i="1"/>
  <c r="I154" i="1"/>
  <c r="AB151" i="1"/>
  <c r="AC151" i="1" s="1"/>
  <c r="W151" i="1"/>
  <c r="I151" i="1"/>
  <c r="O153" i="1"/>
  <c r="AB152" i="1"/>
  <c r="AC152" i="1" s="1"/>
  <c r="W152" i="1"/>
  <c r="I152" i="1"/>
  <c r="AB150" i="1"/>
  <c r="AC150" i="1" s="1"/>
  <c r="W150" i="1"/>
  <c r="I150" i="1"/>
  <c r="AD160" i="1" l="1"/>
  <c r="AD169" i="1"/>
  <c r="W161" i="1"/>
  <c r="AC161" i="1"/>
  <c r="AD159" i="1"/>
  <c r="AC153" i="1"/>
  <c r="AD156" i="1"/>
  <c r="AD158" i="1"/>
  <c r="AD157" i="1"/>
  <c r="AD154" i="1"/>
  <c r="AD155" i="1"/>
  <c r="W153" i="1"/>
  <c r="AD152" i="1"/>
  <c r="AD151" i="1"/>
  <c r="AD150" i="1"/>
  <c r="I117" i="1"/>
  <c r="I121" i="1"/>
  <c r="I120" i="1"/>
  <c r="I119" i="1"/>
  <c r="I144" i="1"/>
  <c r="I145" i="1"/>
  <c r="I137" i="1"/>
  <c r="I138" i="1"/>
  <c r="I139" i="1"/>
  <c r="I140" i="1"/>
  <c r="I141" i="1"/>
  <c r="I142" i="1"/>
  <c r="I136" i="1"/>
  <c r="O131" i="1"/>
  <c r="I132" i="1"/>
  <c r="V132" i="1"/>
  <c r="AB132" i="1"/>
  <c r="AC132" i="1" s="1"/>
  <c r="I133" i="1"/>
  <c r="V133" i="1"/>
  <c r="W133" i="1" s="1"/>
  <c r="AB133" i="1"/>
  <c r="AC133" i="1" s="1"/>
  <c r="I134" i="1"/>
  <c r="V134" i="1"/>
  <c r="W134" i="1" s="1"/>
  <c r="AB134" i="1"/>
  <c r="AC134" i="1" s="1"/>
  <c r="I135" i="1"/>
  <c r="V135" i="1"/>
  <c r="W135" i="1" s="1"/>
  <c r="AB135" i="1"/>
  <c r="AC135" i="1" s="1"/>
  <c r="V136" i="1"/>
  <c r="W136" i="1" s="1"/>
  <c r="AB136" i="1"/>
  <c r="AC136" i="1" s="1"/>
  <c r="V137" i="1"/>
  <c r="W137" i="1" s="1"/>
  <c r="AB137" i="1"/>
  <c r="AC137" i="1" s="1"/>
  <c r="V138" i="1"/>
  <c r="W138" i="1" s="1"/>
  <c r="AB138" i="1"/>
  <c r="AC138" i="1" s="1"/>
  <c r="V139" i="1"/>
  <c r="W139" i="1" s="1"/>
  <c r="AB139" i="1"/>
  <c r="AC139" i="1" s="1"/>
  <c r="O143" i="1"/>
  <c r="O149" i="1"/>
  <c r="AC148" i="1"/>
  <c r="V148" i="1"/>
  <c r="W148" i="1" s="1"/>
  <c r="AC147" i="1"/>
  <c r="V147" i="1"/>
  <c r="W147" i="1" s="1"/>
  <c r="O122" i="1"/>
  <c r="O146" i="1"/>
  <c r="AB142" i="1"/>
  <c r="AC142" i="1" s="1"/>
  <c r="V142" i="1"/>
  <c r="W142" i="1" s="1"/>
  <c r="AB141" i="1"/>
  <c r="AC141" i="1" s="1"/>
  <c r="V141" i="1"/>
  <c r="W141" i="1" s="1"/>
  <c r="AB140" i="1"/>
  <c r="AC140" i="1" s="1"/>
  <c r="V140" i="1"/>
  <c r="W140" i="1" s="1"/>
  <c r="AB277" i="1" l="1"/>
  <c r="AB282" i="1"/>
  <c r="AB278" i="1"/>
  <c r="AB280" i="1" s="1"/>
  <c r="AD245" i="1"/>
  <c r="AD246" i="1" s="1"/>
  <c r="AD248" i="1" s="1"/>
  <c r="AC149" i="1"/>
  <c r="AD161" i="1"/>
  <c r="AD136" i="1"/>
  <c r="W132" i="1"/>
  <c r="AD132" i="1" s="1"/>
  <c r="AD153" i="1"/>
  <c r="AD137" i="1"/>
  <c r="AD138" i="1"/>
  <c r="AD134" i="1"/>
  <c r="AD135" i="1"/>
  <c r="AD139" i="1"/>
  <c r="AD133" i="1"/>
  <c r="W149" i="1"/>
  <c r="AD147" i="1"/>
  <c r="AD148" i="1"/>
  <c r="AD140" i="1"/>
  <c r="AD141" i="1"/>
  <c r="AD142" i="1"/>
  <c r="AB281" i="1" l="1"/>
  <c r="AB283" i="1" s="1"/>
  <c r="AD149" i="1"/>
  <c r="AB145" i="1"/>
  <c r="AC145" i="1" s="1"/>
  <c r="W145" i="1"/>
  <c r="AB144" i="1"/>
  <c r="AC144" i="1" s="1"/>
  <c r="W144" i="1"/>
  <c r="W146" i="1" s="1"/>
  <c r="AC146" i="1" l="1"/>
  <c r="AD145" i="1"/>
  <c r="AD144" i="1"/>
  <c r="I124" i="1"/>
  <c r="I125" i="1"/>
  <c r="I126" i="1"/>
  <c r="I127" i="1"/>
  <c r="I128" i="1"/>
  <c r="I129" i="1"/>
  <c r="I130" i="1"/>
  <c r="I123" i="1"/>
  <c r="W143" i="1" l="1"/>
  <c r="AC143" i="1"/>
  <c r="AD146" i="1"/>
  <c r="AD143" i="1" l="1"/>
  <c r="V122" i="1" l="1"/>
  <c r="V123" i="1"/>
  <c r="W123" i="1" s="1"/>
  <c r="V124" i="1"/>
  <c r="W124" i="1" s="1"/>
  <c r="V125" i="1"/>
  <c r="W125" i="1" s="1"/>
  <c r="V126" i="1"/>
  <c r="V127" i="1"/>
  <c r="W127" i="1" s="1"/>
  <c r="V128" i="1"/>
  <c r="W128" i="1" s="1"/>
  <c r="V129" i="1"/>
  <c r="W129" i="1" s="1"/>
  <c r="V130" i="1"/>
  <c r="W130" i="1" s="1"/>
  <c r="AB124" i="1"/>
  <c r="AC124" i="1" s="1"/>
  <c r="AB125" i="1"/>
  <c r="AC125" i="1" s="1"/>
  <c r="AB126" i="1"/>
  <c r="AC126" i="1" s="1"/>
  <c r="AB130" i="1"/>
  <c r="AC130" i="1" s="1"/>
  <c r="AB129" i="1"/>
  <c r="AC129" i="1" s="1"/>
  <c r="AB128" i="1"/>
  <c r="AC128" i="1" s="1"/>
  <c r="AB127" i="1"/>
  <c r="AC127" i="1" s="1"/>
  <c r="AB123" i="1"/>
  <c r="AC123" i="1" s="1"/>
  <c r="O116" i="1"/>
  <c r="O118" i="1"/>
  <c r="AE207" i="1" s="1"/>
  <c r="AC131" i="1" l="1"/>
  <c r="W126" i="1"/>
  <c r="AD126" i="1" s="1"/>
  <c r="AD129" i="1"/>
  <c r="AD125" i="1"/>
  <c r="AD124" i="1"/>
  <c r="AD130" i="1"/>
  <c r="AD127" i="1"/>
  <c r="AD128" i="1"/>
  <c r="AD123" i="1"/>
  <c r="AB117" i="1"/>
  <c r="AC117" i="1" s="1"/>
  <c r="AC118" i="1" s="1"/>
  <c r="W117" i="1"/>
  <c r="W118" i="1" s="1"/>
  <c r="V119" i="1"/>
  <c r="AB119" i="1"/>
  <c r="V120" i="1"/>
  <c r="W120" i="1" s="1"/>
  <c r="AB120" i="1"/>
  <c r="AC120" i="1" s="1"/>
  <c r="W131" i="1" l="1"/>
  <c r="AC119" i="1"/>
  <c r="AD131" i="1"/>
  <c r="W119" i="1"/>
  <c r="AD119" i="1" s="1"/>
  <c r="AD120" i="1"/>
  <c r="AD117" i="1"/>
  <c r="AD118" i="1" s="1"/>
  <c r="AD207" i="1" s="1"/>
  <c r="V121" i="1"/>
  <c r="W121" i="1" s="1"/>
  <c r="AB121" i="1"/>
  <c r="AC121" i="1" s="1"/>
  <c r="AB115" i="1"/>
  <c r="AC115" i="1" s="1"/>
  <c r="W115" i="1"/>
  <c r="I115" i="1"/>
  <c r="AB114" i="1"/>
  <c r="AC114" i="1" s="1"/>
  <c r="W114" i="1"/>
  <c r="I114" i="1"/>
  <c r="AB113" i="1"/>
  <c r="AC113" i="1" s="1"/>
  <c r="W113" i="1"/>
  <c r="I113" i="1"/>
  <c r="AB112" i="1"/>
  <c r="AC112" i="1" s="1"/>
  <c r="W112" i="1"/>
  <c r="I112" i="1"/>
  <c r="AB111" i="1"/>
  <c r="AC111" i="1" s="1"/>
  <c r="W111" i="1"/>
  <c r="I111" i="1"/>
  <c r="AB110" i="1"/>
  <c r="AC110" i="1" s="1"/>
  <c r="W110" i="1"/>
  <c r="I110" i="1"/>
  <c r="I108" i="1"/>
  <c r="I107" i="1"/>
  <c r="O109" i="1"/>
  <c r="I105" i="1"/>
  <c r="I106" i="1"/>
  <c r="AB108" i="1"/>
  <c r="AC108" i="1" s="1"/>
  <c r="V108" i="1"/>
  <c r="W108" i="1" s="1"/>
  <c r="W122" i="1" l="1"/>
  <c r="AC122" i="1"/>
  <c r="AB276" i="1" s="1"/>
  <c r="AD121" i="1"/>
  <c r="AD122" i="1" s="1"/>
  <c r="AD115" i="1"/>
  <c r="AD111" i="1"/>
  <c r="W116" i="1"/>
  <c r="AD114" i="1"/>
  <c r="AD113" i="1"/>
  <c r="AD110" i="1"/>
  <c r="AC116" i="1"/>
  <c r="AD112" i="1"/>
  <c r="AD108" i="1"/>
  <c r="AD116" i="1" l="1"/>
  <c r="I103" i="1" l="1"/>
  <c r="I104" i="1"/>
  <c r="I102" i="1"/>
  <c r="AB103" i="1"/>
  <c r="AC103" i="1" s="1"/>
  <c r="AB104" i="1"/>
  <c r="AC104" i="1" s="1"/>
  <c r="AB105" i="1"/>
  <c r="AC105" i="1" s="1"/>
  <c r="AB106" i="1"/>
  <c r="AC106" i="1" s="1"/>
  <c r="AB107" i="1"/>
  <c r="AC107" i="1" s="1"/>
  <c r="AB102" i="1"/>
  <c r="AC102" i="1" s="1"/>
  <c r="V102" i="1"/>
  <c r="W102" i="1" s="1"/>
  <c r="V107" i="1"/>
  <c r="W107" i="1" s="1"/>
  <c r="V106" i="1"/>
  <c r="W106" i="1" s="1"/>
  <c r="V105" i="1"/>
  <c r="W105" i="1" s="1"/>
  <c r="V104" i="1"/>
  <c r="W104" i="1" s="1"/>
  <c r="V103" i="1"/>
  <c r="W103" i="1" s="1"/>
  <c r="O101" i="1"/>
  <c r="Z282" i="1" l="1"/>
  <c r="K88" i="1"/>
  <c r="Z277" i="1"/>
  <c r="Z278" i="1" s="1"/>
  <c r="Z280" i="1" s="1"/>
  <c r="AC245" i="1"/>
  <c r="AC246" i="1" s="1"/>
  <c r="AC248" i="1" s="1"/>
  <c r="AD252" i="1" s="1"/>
  <c r="AC109" i="1"/>
  <c r="W109" i="1"/>
  <c r="AD106" i="1"/>
  <c r="AD104" i="1"/>
  <c r="AD107" i="1"/>
  <c r="AD105" i="1"/>
  <c r="AD103" i="1"/>
  <c r="AD102" i="1"/>
  <c r="Z281" i="1" l="1"/>
  <c r="Z283" i="1" s="1"/>
  <c r="AD109" i="1"/>
  <c r="V100" i="1" l="1"/>
  <c r="W100" i="1" s="1"/>
  <c r="V99" i="1"/>
  <c r="AC100" i="1"/>
  <c r="AC99" i="1"/>
  <c r="A76" i="1"/>
  <c r="I85" i="1"/>
  <c r="I86" i="1"/>
  <c r="I88" i="1"/>
  <c r="I89" i="1"/>
  <c r="I90" i="1"/>
  <c r="I84" i="1"/>
  <c r="I93" i="1"/>
  <c r="I94" i="1"/>
  <c r="I95" i="1"/>
  <c r="I96" i="1"/>
  <c r="I97" i="1"/>
  <c r="I92" i="1"/>
  <c r="I78" i="1"/>
  <c r="I79" i="1"/>
  <c r="I80" i="1"/>
  <c r="I81" i="1"/>
  <c r="I82" i="1"/>
  <c r="I77" i="1"/>
  <c r="O98" i="1"/>
  <c r="AC97" i="1"/>
  <c r="V97" i="1"/>
  <c r="W97" i="1" s="1"/>
  <c r="AC96" i="1"/>
  <c r="V96" i="1"/>
  <c r="W96" i="1" s="1"/>
  <c r="AC95" i="1"/>
  <c r="V95" i="1"/>
  <c r="W95" i="1" s="1"/>
  <c r="AC94" i="1"/>
  <c r="V94" i="1"/>
  <c r="W94" i="1" s="1"/>
  <c r="AC93" i="1"/>
  <c r="V93" i="1"/>
  <c r="W93" i="1" s="1"/>
  <c r="AC92" i="1"/>
  <c r="V92" i="1"/>
  <c r="W92" i="1" s="1"/>
  <c r="V89" i="1"/>
  <c r="W89" i="1" s="1"/>
  <c r="V90" i="1"/>
  <c r="W90" i="1" s="1"/>
  <c r="AJ280" i="1"/>
  <c r="AK280" i="1" s="1"/>
  <c r="AF329" i="1"/>
  <c r="AF325" i="1"/>
  <c r="AF326" i="1"/>
  <c r="AF327" i="1"/>
  <c r="AF328" i="1"/>
  <c r="AF324" i="1"/>
  <c r="AG294" i="1"/>
  <c r="AG295" i="1"/>
  <c r="AG296" i="1"/>
  <c r="AG297" i="1"/>
  <c r="AF297" i="1"/>
  <c r="AF292" i="1"/>
  <c r="AF293" i="1"/>
  <c r="AF294" i="1"/>
  <c r="AF295" i="1"/>
  <c r="AF296" i="1"/>
  <c r="AF291" i="1"/>
  <c r="AF323" i="1"/>
  <c r="AF322" i="1"/>
  <c r="AF321" i="1"/>
  <c r="AJ340" i="1"/>
  <c r="AN307" i="1"/>
  <c r="AN315" i="1" s="1"/>
  <c r="AN282" i="1"/>
  <c r="AC67" i="1"/>
  <c r="R68" i="1"/>
  <c r="W68" i="1" s="1"/>
  <c r="R69" i="1"/>
  <c r="W69" i="1" s="1"/>
  <c r="R70" i="1"/>
  <c r="W70" i="1" s="1"/>
  <c r="R71" i="1"/>
  <c r="W71" i="1" s="1"/>
  <c r="R72" i="1"/>
  <c r="W72" i="1" s="1"/>
  <c r="R73" i="1"/>
  <c r="W73" i="1" s="1"/>
  <c r="R74" i="1"/>
  <c r="W74" i="1" s="1"/>
  <c r="R75" i="1"/>
  <c r="W75" i="1" s="1"/>
  <c r="V85" i="1"/>
  <c r="W85" i="1" s="1"/>
  <c r="V86" i="1"/>
  <c r="W86" i="1" s="1"/>
  <c r="O83" i="1"/>
  <c r="AG337" i="1" s="1"/>
  <c r="AG338" i="1" s="1"/>
  <c r="AC78" i="1"/>
  <c r="AC79" i="1"/>
  <c r="AC80" i="1"/>
  <c r="AC81" i="1"/>
  <c r="AC82" i="1"/>
  <c r="V78" i="1"/>
  <c r="W78" i="1" s="1"/>
  <c r="V79" i="1"/>
  <c r="W79" i="1" s="1"/>
  <c r="V80" i="1"/>
  <c r="W80" i="1" s="1"/>
  <c r="V81" i="1"/>
  <c r="W81" i="1" s="1"/>
  <c r="V82" i="1"/>
  <c r="W82" i="1" s="1"/>
  <c r="O91" i="1"/>
  <c r="AB273" i="1" s="1"/>
  <c r="O87" i="1"/>
  <c r="AC90" i="1"/>
  <c r="AC89" i="1"/>
  <c r="AC88" i="1"/>
  <c r="AC86" i="1"/>
  <c r="AC85" i="1"/>
  <c r="AC84" i="1"/>
  <c r="AC77" i="1"/>
  <c r="V77" i="1"/>
  <c r="AC74" i="1"/>
  <c r="AC73" i="1"/>
  <c r="O76" i="1"/>
  <c r="AG305" i="1" s="1"/>
  <c r="AG306" i="1" s="1"/>
  <c r="AG308" i="1" s="1"/>
  <c r="AC75" i="1"/>
  <c r="AC72" i="1"/>
  <c r="AC71" i="1"/>
  <c r="AC70" i="1"/>
  <c r="AC69" i="1"/>
  <c r="AC68" i="1"/>
  <c r="Z273" i="1" l="1"/>
  <c r="K87" i="1"/>
  <c r="AG321" i="1"/>
  <c r="AH321" i="1" s="1"/>
  <c r="W67" i="1"/>
  <c r="W76" i="1" s="1"/>
  <c r="W99" i="1"/>
  <c r="W101" i="1" s="1"/>
  <c r="W77" i="1"/>
  <c r="AD77" i="1" s="1"/>
  <c r="AB268" i="1"/>
  <c r="AB269" i="1" s="1"/>
  <c r="Z268" i="1"/>
  <c r="Z269" i="1" s="1"/>
  <c r="Z271" i="1" s="1"/>
  <c r="Z272" i="1" s="1"/>
  <c r="Z274" i="1" s="1"/>
  <c r="AB267" i="1"/>
  <c r="AC101" i="1"/>
  <c r="Z276" i="1" s="1"/>
  <c r="J77" i="1"/>
  <c r="AD100" i="1"/>
  <c r="J92" i="1"/>
  <c r="J93" i="1"/>
  <c r="J89" i="1"/>
  <c r="J97" i="1"/>
  <c r="J86" i="1"/>
  <c r="J96" i="1"/>
  <c r="J85" i="1"/>
  <c r="J88" i="1"/>
  <c r="J95" i="1"/>
  <c r="J84" i="1"/>
  <c r="J90" i="1"/>
  <c r="J94" i="1"/>
  <c r="J82" i="1"/>
  <c r="J81" i="1"/>
  <c r="J80" i="1"/>
  <c r="J79" i="1"/>
  <c r="J78" i="1"/>
  <c r="V88" i="1"/>
  <c r="AD96" i="1"/>
  <c r="AD93" i="1"/>
  <c r="AC98" i="1"/>
  <c r="AD94" i="1"/>
  <c r="W98" i="1"/>
  <c r="AD95" i="1"/>
  <c r="AD97" i="1"/>
  <c r="AD92" i="1"/>
  <c r="Z244" i="1"/>
  <c r="Z246" i="1" s="1"/>
  <c r="Z248" i="1" s="1"/>
  <c r="AB246" i="1"/>
  <c r="AB248" i="1" s="1"/>
  <c r="AJ283" i="1"/>
  <c r="AK283" i="1" s="1"/>
  <c r="AJ282" i="1"/>
  <c r="AK282" i="1" s="1"/>
  <c r="AJ281" i="1"/>
  <c r="AK281" i="1" s="1"/>
  <c r="AF331" i="1"/>
  <c r="AG323" i="1"/>
  <c r="AH323" i="1" s="1"/>
  <c r="AG328" i="1"/>
  <c r="AH328" i="1" s="1"/>
  <c r="AG327" i="1"/>
  <c r="AH327" i="1" s="1"/>
  <c r="AG322" i="1"/>
  <c r="AH322" i="1" s="1"/>
  <c r="AH297" i="1"/>
  <c r="AG326" i="1"/>
  <c r="AH326" i="1" s="1"/>
  <c r="AG329" i="1"/>
  <c r="AH329" i="1" s="1"/>
  <c r="AF299" i="1"/>
  <c r="AG325" i="1"/>
  <c r="AH325" i="1" s="1"/>
  <c r="AG324" i="1"/>
  <c r="AH324" i="1" s="1"/>
  <c r="AH295" i="1"/>
  <c r="AH294" i="1"/>
  <c r="AH296" i="1"/>
  <c r="AJ338" i="1"/>
  <c r="AG341" i="1"/>
  <c r="AN305" i="1"/>
  <c r="AN313" i="1" s="1"/>
  <c r="AD80" i="1"/>
  <c r="AD82" i="1"/>
  <c r="AD81" i="1"/>
  <c r="AD79" i="1"/>
  <c r="AD78" i="1"/>
  <c r="AC83" i="1"/>
  <c r="AC91" i="1"/>
  <c r="AC87" i="1"/>
  <c r="Z267" i="1" s="1"/>
  <c r="AD85" i="1"/>
  <c r="AD89" i="1"/>
  <c r="AD86" i="1"/>
  <c r="AD90" i="1"/>
  <c r="AD75" i="1"/>
  <c r="AC76" i="1"/>
  <c r="AG311" i="1" s="1"/>
  <c r="AG312" i="1" s="1"/>
  <c r="AD74" i="1"/>
  <c r="AD73" i="1"/>
  <c r="AD71" i="1"/>
  <c r="AD70" i="1"/>
  <c r="AD68" i="1"/>
  <c r="AD72" i="1"/>
  <c r="AD67" i="1"/>
  <c r="AD69" i="1"/>
  <c r="AN308" i="1" l="1"/>
  <c r="AN309" i="1" s="1"/>
  <c r="AN316" i="1"/>
  <c r="AN317" i="1" s="1"/>
  <c r="AD99" i="1"/>
  <c r="W83" i="1"/>
  <c r="AH274" i="1" s="1"/>
  <c r="W88" i="1"/>
  <c r="AD88" i="1" s="1"/>
  <c r="AB252" i="1"/>
  <c r="W84" i="1"/>
  <c r="AD101" i="1"/>
  <c r="W91" i="1"/>
  <c r="AJ341" i="1"/>
  <c r="AJ342" i="1" s="1"/>
  <c r="AK285" i="1"/>
  <c r="AD98" i="1"/>
  <c r="AH331" i="1"/>
  <c r="AD83" i="1"/>
  <c r="AD76" i="1"/>
  <c r="AB261" i="1" l="1"/>
  <c r="AB263" i="1" s="1"/>
  <c r="AD253" i="1" s="1"/>
  <c r="AD255" i="1" s="1"/>
  <c r="AD257" i="1" s="1"/>
  <c r="AD91" i="1"/>
  <c r="AD84" i="1"/>
  <c r="AD87" i="1" s="1"/>
  <c r="W87" i="1"/>
  <c r="AB60" i="1"/>
  <c r="AC60" i="1" s="1"/>
  <c r="R60" i="1"/>
  <c r="V60" i="1" s="1"/>
  <c r="R65" i="1"/>
  <c r="W65" i="1" s="1"/>
  <c r="R63" i="1"/>
  <c r="W63" i="1" s="1"/>
  <c r="R64" i="1"/>
  <c r="W64" i="1" s="1"/>
  <c r="W62" i="1"/>
  <c r="R61" i="1"/>
  <c r="V61" i="1" s="1"/>
  <c r="R59" i="1"/>
  <c r="V59" i="1" s="1"/>
  <c r="O66" i="1"/>
  <c r="AB65" i="1"/>
  <c r="AC64" i="1"/>
  <c r="AB63" i="1"/>
  <c r="AC63" i="1" s="1"/>
  <c r="AB62" i="1"/>
  <c r="AC62" i="1" s="1"/>
  <c r="AB61" i="1"/>
  <c r="AC61" i="1" s="1"/>
  <c r="AB59" i="1"/>
  <c r="AC59" i="1" s="1"/>
  <c r="AC65" i="1" l="1"/>
  <c r="AD65" i="1" s="1"/>
  <c r="W61" i="1"/>
  <c r="AD61" i="1" s="1"/>
  <c r="AG293" i="1"/>
  <c r="AH293" i="1" s="1"/>
  <c r="W59" i="1"/>
  <c r="AD59" i="1" s="1"/>
  <c r="AG291" i="1"/>
  <c r="AH291" i="1" s="1"/>
  <c r="W60" i="1"/>
  <c r="AD60" i="1" s="1"/>
  <c r="AG292" i="1"/>
  <c r="AH292" i="1" s="1"/>
  <c r="AG280" i="1"/>
  <c r="AG281" i="1" s="1"/>
  <c r="AG283" i="1" s="1"/>
  <c r="AD64" i="1"/>
  <c r="AD63" i="1"/>
  <c r="AD62" i="1"/>
  <c r="AC66" i="1"/>
  <c r="AB274" i="1" l="1"/>
  <c r="AG286" i="1"/>
  <c r="AG287" i="1" s="1"/>
  <c r="AK286" i="1" s="1"/>
  <c r="AK287" i="1" s="1"/>
  <c r="AH299" i="1"/>
  <c r="W66" i="1"/>
  <c r="AE273" i="1" s="1"/>
  <c r="AH273" i="1" s="1"/>
  <c r="AD66" i="1"/>
  <c r="AE275" i="1" l="1"/>
  <c r="AG314" i="1"/>
  <c r="AN283" i="1"/>
  <c r="AN284" i="1" s="1"/>
  <c r="AC44" i="1"/>
  <c r="V44" i="1"/>
  <c r="O46" i="1"/>
  <c r="AH275" i="1" l="1"/>
  <c r="W44" i="1"/>
  <c r="AD44" i="1" s="1"/>
  <c r="O53" i="1" l="1"/>
  <c r="X52" i="1"/>
  <c r="AB52" i="1" s="1"/>
  <c r="AC52" i="1" s="1"/>
  <c r="R52" i="1"/>
  <c r="V52" i="1" s="1"/>
  <c r="W52" i="1" s="1"/>
  <c r="X51" i="1"/>
  <c r="AB51" i="1" s="1"/>
  <c r="AC51" i="1" s="1"/>
  <c r="R51" i="1"/>
  <c r="V51" i="1" s="1"/>
  <c r="W51" i="1" s="1"/>
  <c r="X50" i="1"/>
  <c r="AB50" i="1" s="1"/>
  <c r="AC50" i="1" s="1"/>
  <c r="R50" i="1"/>
  <c r="V50" i="1" s="1"/>
  <c r="W50" i="1" s="1"/>
  <c r="X49" i="1"/>
  <c r="AB49" i="1" s="1"/>
  <c r="AC49" i="1" s="1"/>
  <c r="R49" i="1"/>
  <c r="V49" i="1" s="1"/>
  <c r="W49" i="1" s="1"/>
  <c r="X48" i="1"/>
  <c r="AB48" i="1" s="1"/>
  <c r="AC48" i="1" s="1"/>
  <c r="R48" i="1"/>
  <c r="V48" i="1" s="1"/>
  <c r="W48" i="1" s="1"/>
  <c r="X47" i="1"/>
  <c r="AB47" i="1" s="1"/>
  <c r="AC47" i="1" s="1"/>
  <c r="R47" i="1"/>
  <c r="V47" i="1" s="1"/>
  <c r="W47" i="1" s="1"/>
  <c r="X40" i="1"/>
  <c r="AB40" i="1" s="1"/>
  <c r="AC40" i="1" s="1"/>
  <c r="X39" i="1"/>
  <c r="AB39" i="1" s="1"/>
  <c r="AC39" i="1" s="1"/>
  <c r="X41" i="1"/>
  <c r="AB41" i="1" s="1"/>
  <c r="AC41" i="1" s="1"/>
  <c r="X33" i="1"/>
  <c r="AB33" i="1" s="1"/>
  <c r="AC33" i="1" s="1"/>
  <c r="X34" i="1"/>
  <c r="AB34" i="1" s="1"/>
  <c r="AC34" i="1" s="1"/>
  <c r="X35" i="1"/>
  <c r="AB35" i="1" s="1"/>
  <c r="AC35" i="1" s="1"/>
  <c r="X36" i="1"/>
  <c r="AB36" i="1" s="1"/>
  <c r="AC36" i="1" s="1"/>
  <c r="X37" i="1"/>
  <c r="AB37" i="1" s="1"/>
  <c r="AC37" i="1" s="1"/>
  <c r="X32" i="1"/>
  <c r="AB32" i="1" s="1"/>
  <c r="AC32" i="1" s="1"/>
  <c r="R28" i="1"/>
  <c r="AD49" i="1" l="1"/>
  <c r="AD51" i="1"/>
  <c r="W53" i="1"/>
  <c r="AD52" i="1"/>
  <c r="AD48" i="1"/>
  <c r="AD50" i="1"/>
  <c r="AD47" i="1"/>
  <c r="AC53" i="1"/>
  <c r="X42" i="1"/>
  <c r="AB42" i="1" s="1"/>
  <c r="AC42" i="1" s="1"/>
  <c r="X43" i="1"/>
  <c r="AB43" i="1" s="1"/>
  <c r="AC43" i="1" s="1"/>
  <c r="X45" i="1"/>
  <c r="AB45" i="1" s="1"/>
  <c r="AC45" i="1" s="1"/>
  <c r="AD53" i="1" l="1"/>
  <c r="R40" i="1"/>
  <c r="V40" i="1" s="1"/>
  <c r="R41" i="1"/>
  <c r="V41" i="1" s="1"/>
  <c r="R42" i="1"/>
  <c r="V42" i="1" s="1"/>
  <c r="R43" i="1"/>
  <c r="R45" i="1"/>
  <c r="R39" i="1"/>
  <c r="R33" i="1"/>
  <c r="R34" i="1"/>
  <c r="R35" i="1"/>
  <c r="R36" i="1"/>
  <c r="R37" i="1"/>
  <c r="R32" i="1"/>
  <c r="O38" i="1"/>
  <c r="W29" i="1"/>
  <c r="X29" i="1"/>
  <c r="AC29" i="1" s="1"/>
  <c r="V45" i="1" l="1"/>
  <c r="W45" i="1" s="1"/>
  <c r="AD45" i="1" s="1"/>
  <c r="V43" i="1"/>
  <c r="W43" i="1" s="1"/>
  <c r="AD43" i="1" s="1"/>
  <c r="V34" i="1"/>
  <c r="W34" i="1" s="1"/>
  <c r="AD34" i="1" s="1"/>
  <c r="V37" i="1"/>
  <c r="W37" i="1" s="1"/>
  <c r="AD37" i="1" s="1"/>
  <c r="V36" i="1"/>
  <c r="W36" i="1" s="1"/>
  <c r="AD36" i="1" s="1"/>
  <c r="V32" i="1"/>
  <c r="W32" i="1" s="1"/>
  <c r="AD32" i="1" s="1"/>
  <c r="W42" i="1"/>
  <c r="W41" i="1"/>
  <c r="AD41" i="1" s="1"/>
  <c r="W40" i="1"/>
  <c r="AD40" i="1" s="1"/>
  <c r="V33" i="1"/>
  <c r="W33" i="1" s="1"/>
  <c r="AD33" i="1" s="1"/>
  <c r="V35" i="1"/>
  <c r="W35" i="1" s="1"/>
  <c r="AD35" i="1" s="1"/>
  <c r="V39" i="1"/>
  <c r="AC46" i="1"/>
  <c r="AC38" i="1"/>
  <c r="AD29" i="1"/>
  <c r="AD42" i="1" l="1"/>
  <c r="W39" i="1"/>
  <c r="W46" i="1" s="1"/>
  <c r="W38" i="1"/>
  <c r="AD38" i="1"/>
  <c r="X25" i="1"/>
  <c r="AC25" i="1" s="1"/>
  <c r="X26" i="1"/>
  <c r="AC26" i="1" s="1"/>
  <c r="X27" i="1"/>
  <c r="AC27" i="1" s="1"/>
  <c r="X28" i="1"/>
  <c r="AC28" i="1" s="1"/>
  <c r="X30" i="1"/>
  <c r="AC30" i="1" s="1"/>
  <c r="X24" i="1"/>
  <c r="AC24" i="1" s="1"/>
  <c r="R25" i="1"/>
  <c r="W25" i="1" s="1"/>
  <c r="R26" i="1"/>
  <c r="W26" i="1" s="1"/>
  <c r="R27" i="1"/>
  <c r="W27" i="1" s="1"/>
  <c r="W28" i="1"/>
  <c r="R30" i="1"/>
  <c r="W30" i="1" s="1"/>
  <c r="R24" i="1"/>
  <c r="W24" i="1" s="1"/>
  <c r="X20" i="1"/>
  <c r="AC20" i="1" s="1"/>
  <c r="X21" i="1"/>
  <c r="AC21" i="1" s="1"/>
  <c r="X22" i="1"/>
  <c r="AC22" i="1" s="1"/>
  <c r="X19" i="1"/>
  <c r="AC19" i="1" s="1"/>
  <c r="R20" i="1"/>
  <c r="W20" i="1" s="1"/>
  <c r="R21" i="1"/>
  <c r="W21" i="1" s="1"/>
  <c r="R22" i="1"/>
  <c r="W22" i="1" s="1"/>
  <c r="R19" i="1"/>
  <c r="O31" i="1"/>
  <c r="O23" i="1"/>
  <c r="O18" i="1"/>
  <c r="AC17" i="1"/>
  <c r="W17" i="1"/>
  <c r="AC16" i="1"/>
  <c r="W16" i="1"/>
  <c r="AC15" i="1"/>
  <c r="W15" i="1"/>
  <c r="AC14" i="1"/>
  <c r="W14" i="1"/>
  <c r="X13" i="1"/>
  <c r="O13" i="1"/>
  <c r="AC12" i="1"/>
  <c r="W12" i="1"/>
  <c r="AC11" i="1"/>
  <c r="W11" i="1"/>
  <c r="AC10" i="1"/>
  <c r="W10" i="1"/>
  <c r="AC9" i="1"/>
  <c r="W9" i="1"/>
  <c r="O8" i="1"/>
  <c r="AC7" i="1"/>
  <c r="W7" i="1"/>
  <c r="AC6" i="1"/>
  <c r="AD6" i="1" s="1"/>
  <c r="AC4" i="1"/>
  <c r="W4" i="1"/>
  <c r="W19" i="1" l="1"/>
  <c r="W23" i="1" s="1"/>
  <c r="AD39" i="1"/>
  <c r="AD46" i="1" s="1"/>
  <c r="AG47" i="1" s="1"/>
  <c r="AD28" i="1"/>
  <c r="AD27" i="1"/>
  <c r="AD30" i="1"/>
  <c r="AD25" i="1"/>
  <c r="AD26" i="1"/>
  <c r="AC31" i="1"/>
  <c r="W31" i="1"/>
  <c r="AD24" i="1"/>
  <c r="AD17" i="1"/>
  <c r="AD22" i="1"/>
  <c r="AD20" i="1"/>
  <c r="AD15" i="1"/>
  <c r="AD11" i="1"/>
  <c r="AD4" i="1"/>
  <c r="AD7" i="1"/>
  <c r="AC13" i="1"/>
  <c r="AC18" i="1"/>
  <c r="AD10" i="1"/>
  <c r="AD21" i="1"/>
  <c r="AD12" i="1"/>
  <c r="AD9" i="1"/>
  <c r="W18" i="1"/>
  <c r="AC23" i="1"/>
  <c r="W13" i="1"/>
  <c r="AD19" i="1"/>
  <c r="AD16" i="1"/>
  <c r="AD14" i="1"/>
  <c r="AD31" i="1" l="1"/>
  <c r="AD13" i="1"/>
  <c r="AD23" i="1"/>
  <c r="AD18" i="1"/>
</calcChain>
</file>

<file path=xl/sharedStrings.xml><?xml version="1.0" encoding="utf-8"?>
<sst xmlns="http://schemas.openxmlformats.org/spreadsheetml/2006/main" count="1928" uniqueCount="421">
  <si>
    <t>ORDEN DE COMPRA</t>
  </si>
  <si>
    <t>TONELADAS</t>
  </si>
  <si>
    <t>METRICA</t>
  </si>
  <si>
    <t>PROVEEDOR</t>
  </si>
  <si>
    <t>PRECIO</t>
  </si>
  <si>
    <t>PRECIO TOTAL</t>
  </si>
  <si>
    <t>COSTO</t>
  </si>
  <si>
    <t>COSTO TOTAL</t>
  </si>
  <si>
    <t>MARGEN</t>
  </si>
  <si>
    <t>NOTA</t>
  </si>
  <si>
    <t>X0011</t>
  </si>
  <si>
    <t>IX0011</t>
  </si>
  <si>
    <t>BZA International Services, LLC</t>
  </si>
  <si>
    <t>1209 S. 10th St. Suite #583, McAllen, TX 78501</t>
  </si>
  <si>
    <t>Biopappel Scribe, S.A. de C.V.</t>
  </si>
  <si>
    <t>Ton</t>
  </si>
  <si>
    <t>Arauco</t>
  </si>
  <si>
    <t>TOTAL</t>
  </si>
  <si>
    <t>X0012</t>
  </si>
  <si>
    <t>IX0012-1</t>
  </si>
  <si>
    <t>IX0012-2</t>
  </si>
  <si>
    <t>X0013</t>
  </si>
  <si>
    <t>IX0013-1</t>
  </si>
  <si>
    <t>IX0013-2</t>
  </si>
  <si>
    <t>IX0013-3</t>
  </si>
  <si>
    <t>IX0013-4</t>
  </si>
  <si>
    <t>X0014</t>
  </si>
  <si>
    <t>IX0014-1</t>
  </si>
  <si>
    <t>IX0014-2</t>
  </si>
  <si>
    <t>IX0014-3</t>
  </si>
  <si>
    <t>IX0014-4</t>
  </si>
  <si>
    <t>X0015</t>
  </si>
  <si>
    <t>IX0015-1</t>
  </si>
  <si>
    <t>IX0015-2</t>
  </si>
  <si>
    <t>IX0015-3</t>
  </si>
  <si>
    <t>IX0015-4</t>
  </si>
  <si>
    <t>X0017</t>
  </si>
  <si>
    <t>Factura BZA</t>
  </si>
  <si>
    <t>Factura Arauco</t>
  </si>
  <si>
    <t>Contrato OC Febrero</t>
  </si>
  <si>
    <t>Contrato OC Enero</t>
  </si>
  <si>
    <t>se genera hasta que zarpe barco</t>
  </si>
  <si>
    <t>Precio Risi - Contrato</t>
  </si>
  <si>
    <t>IX0017-1</t>
  </si>
  <si>
    <t>IX0017-2</t>
  </si>
  <si>
    <t>IX0017-3</t>
  </si>
  <si>
    <t>IX0017-4</t>
  </si>
  <si>
    <t>IX0017-5</t>
  </si>
  <si>
    <t>Contrato OC Mayo</t>
  </si>
  <si>
    <t>X0020</t>
  </si>
  <si>
    <t>Contrato OC Junio</t>
  </si>
  <si>
    <t>X0021</t>
  </si>
  <si>
    <t>IX0017-6</t>
  </si>
  <si>
    <t>IX0017-7</t>
  </si>
  <si>
    <t>IX0020-1</t>
  </si>
  <si>
    <t>IX0020-2</t>
  </si>
  <si>
    <t>IX0020-3</t>
  </si>
  <si>
    <t>DESCUENTO</t>
  </si>
  <si>
    <t>COSTO TOTAL/TON</t>
  </si>
  <si>
    <t>DESCUENTO OFF GRADE</t>
  </si>
  <si>
    <t>PRECIO TOTAL/TON</t>
  </si>
  <si>
    <t>IX0020-4</t>
  </si>
  <si>
    <t>IX0020-5</t>
  </si>
  <si>
    <t>Pagado Scribe a BZA</t>
  </si>
  <si>
    <t>Pagado a proveedor / por embarcar</t>
  </si>
  <si>
    <t>Pendiente de pagar a proveedor</t>
  </si>
  <si>
    <t>Contrato OC Julio</t>
  </si>
  <si>
    <t>X0022</t>
  </si>
  <si>
    <t>pendiente</t>
  </si>
  <si>
    <t>IX0020-6</t>
  </si>
  <si>
    <t>IX0021-1</t>
  </si>
  <si>
    <t>IX0021-2</t>
  </si>
  <si>
    <t>IX0021-3</t>
  </si>
  <si>
    <t>IX0021-4</t>
  </si>
  <si>
    <t>CXC</t>
  </si>
  <si>
    <t>utilidad</t>
  </si>
  <si>
    <t>X0023</t>
  </si>
  <si>
    <t>1210 S. 10th St. Suite #583, McAllen, TX 78501</t>
  </si>
  <si>
    <t>X0024</t>
  </si>
  <si>
    <t>1211 S. 10th St. Suite #583, McAllen, TX 78501</t>
  </si>
  <si>
    <t>total</t>
  </si>
  <si>
    <t>scribe pago $2,491,500 por adelantado</t>
  </si>
  <si>
    <t>scribe pago $3,031,500 por adelantado</t>
  </si>
  <si>
    <t>IX0022-1</t>
  </si>
  <si>
    <t>IX0022-2</t>
  </si>
  <si>
    <t>IX0022-3</t>
  </si>
  <si>
    <t>IX0022-4</t>
  </si>
  <si>
    <t>IX0022-5</t>
  </si>
  <si>
    <t>IX0022-6</t>
  </si>
  <si>
    <t>IX0022-7</t>
  </si>
  <si>
    <t>IX0023-1</t>
  </si>
  <si>
    <t>IX0023-2</t>
  </si>
  <si>
    <t>IX0023-3</t>
  </si>
  <si>
    <t>IX0023-4</t>
  </si>
  <si>
    <t>IX0023-5</t>
  </si>
  <si>
    <t>IX0023-6</t>
  </si>
  <si>
    <t>IX0023-7</t>
  </si>
  <si>
    <t>IX0023-8</t>
  </si>
  <si>
    <t>IX0023-9</t>
  </si>
  <si>
    <t>CPP</t>
  </si>
  <si>
    <t>X0025</t>
  </si>
  <si>
    <t>X0026</t>
  </si>
  <si>
    <t>IX0025-1</t>
  </si>
  <si>
    <t>IX0025-2</t>
  </si>
  <si>
    <t>IX0025-3</t>
  </si>
  <si>
    <t>IX0026-1</t>
  </si>
  <si>
    <t>IX0026-2</t>
  </si>
  <si>
    <t>IX0026-3</t>
  </si>
  <si>
    <t>IX0024-1</t>
  </si>
  <si>
    <t>Kimberly Clarck de MexicoS.A.B de C.V.</t>
  </si>
  <si>
    <t>IX0024-2</t>
  </si>
  <si>
    <t>IX0024-3</t>
  </si>
  <si>
    <t>IX0024-4</t>
  </si>
  <si>
    <t>IX0024-5</t>
  </si>
  <si>
    <t>IX0024-6</t>
  </si>
  <si>
    <t>1212 S. 10th St. Suite #583, McAllen, TX 78501</t>
  </si>
  <si>
    <t>1213 S. 10th St. Suite #583, McAllen, TX 78501</t>
  </si>
  <si>
    <t>1214 S. 10th St. Suite #583, McAllen, TX 78501</t>
  </si>
  <si>
    <t>Ecatepec</t>
  </si>
  <si>
    <t>Ramos Arizpe</t>
  </si>
  <si>
    <t>TBOX665626</t>
  </si>
  <si>
    <t>TBOX633587</t>
  </si>
  <si>
    <t>TBOX634153</t>
  </si>
  <si>
    <t>Bajio</t>
  </si>
  <si>
    <t>TBOX664912</t>
  </si>
  <si>
    <t>TBOX640835</t>
  </si>
  <si>
    <t>TBOX662800</t>
  </si>
  <si>
    <t>(300 OC0023/500 OC0025)</t>
  </si>
  <si>
    <t>arauco</t>
  </si>
  <si>
    <t>1000 OC 0025</t>
  </si>
  <si>
    <t>pagada 18-feb por BZA - en revision si se aceptaprecio $741</t>
  </si>
  <si>
    <t>pagada por BZA - en revision si se aceptaprecio $741</t>
  </si>
  <si>
    <t>pagada 25-abr por BZA - en revision si se aceptaprecio $741</t>
  </si>
  <si>
    <t>pagada 15-abr por BZA</t>
  </si>
  <si>
    <t>pagada 25-abr por BZA</t>
  </si>
  <si>
    <t>pagado 9-may por BZA</t>
  </si>
  <si>
    <t>pagado</t>
  </si>
  <si>
    <t>ton</t>
  </si>
  <si>
    <t>ton real</t>
  </si>
  <si>
    <t>diferencia</t>
  </si>
  <si>
    <t>Precio Venta</t>
  </si>
  <si>
    <t>Total</t>
  </si>
  <si>
    <t xml:space="preserve">CUENTA SCRIBE </t>
  </si>
  <si>
    <t>PRIMER PEDIDO</t>
  </si>
  <si>
    <t>SEGUNDO PEDIDO</t>
  </si>
  <si>
    <t>pagado scribe PP</t>
  </si>
  <si>
    <t>CUENTA ARAUCO</t>
  </si>
  <si>
    <t>Total real</t>
  </si>
  <si>
    <t>BZA debe</t>
  </si>
  <si>
    <t>SEGUNDO PEDIDO 2</t>
  </si>
  <si>
    <t>CUENTA CPP</t>
  </si>
  <si>
    <t xml:space="preserve">CUENTA KCC </t>
  </si>
  <si>
    <t xml:space="preserve">ton </t>
  </si>
  <si>
    <t>total real</t>
  </si>
  <si>
    <t xml:space="preserve">Utilidad </t>
  </si>
  <si>
    <t>TON</t>
  </si>
  <si>
    <t>ut/ton</t>
  </si>
  <si>
    <t>debimos de haber bajado el precio a scribe</t>
  </si>
  <si>
    <t>De las 70.031 solo $5,910 son de utilidad</t>
  </si>
  <si>
    <t>scribe debe a BZA</t>
  </si>
  <si>
    <t>TOTAL SCRIBE DEBE A BZA</t>
  </si>
  <si>
    <t>De los 31.426 solo $2,262 son de utilidad</t>
  </si>
  <si>
    <t>descuento</t>
  </si>
  <si>
    <t>Scribe debe a BZA</t>
  </si>
  <si>
    <t>DESCUENTO SCRIBE SEGUN TTO</t>
  </si>
  <si>
    <t>VS</t>
  </si>
  <si>
    <t>PVR</t>
  </si>
  <si>
    <t>1500 tons</t>
  </si>
  <si>
    <t>X0027</t>
  </si>
  <si>
    <t>IX0027-1</t>
  </si>
  <si>
    <t>IX0027-2</t>
  </si>
  <si>
    <t>IX0027-3</t>
  </si>
  <si>
    <t>IX0027-4</t>
  </si>
  <si>
    <t>IX0027-5</t>
  </si>
  <si>
    <t>IX0027-6</t>
  </si>
  <si>
    <t>pagado 5/30</t>
  </si>
  <si>
    <t>TBOX661973</t>
  </si>
  <si>
    <t>TBOX668208</t>
  </si>
  <si>
    <t>TBOX630838</t>
  </si>
  <si>
    <t>TBOX701084</t>
  </si>
  <si>
    <t>TBOX668111</t>
  </si>
  <si>
    <t>cpp</t>
  </si>
  <si>
    <t>restante CPP X0024</t>
  </si>
  <si>
    <t>pagado 25/may</t>
  </si>
  <si>
    <t xml:space="preserve">LRS137791 </t>
  </si>
  <si>
    <t>pagado 10/jun</t>
  </si>
  <si>
    <t>Direccion BZA</t>
  </si>
  <si>
    <t>Cliente</t>
  </si>
  <si>
    <t>Pagos realizados a proveedores</t>
  </si>
  <si>
    <t>Fecha embarque</t>
  </si>
  <si>
    <t>Fecha vencimiento</t>
  </si>
  <si>
    <t>dias para vencimiento</t>
  </si>
  <si>
    <t>X0028</t>
  </si>
  <si>
    <t>IX0028-1</t>
  </si>
  <si>
    <t>por pagar</t>
  </si>
  <si>
    <t>restante 500 tons</t>
  </si>
  <si>
    <t>pagado 23/jun y 24/jun restante</t>
  </si>
  <si>
    <t>X0029</t>
  </si>
  <si>
    <t>pagado 16/jul</t>
  </si>
  <si>
    <t>Morelia</t>
  </si>
  <si>
    <t>IX0028-2</t>
  </si>
  <si>
    <t>IX0028-3</t>
  </si>
  <si>
    <t>IX0028-4</t>
  </si>
  <si>
    <t>IX0028-5</t>
  </si>
  <si>
    <t>IX0028-6</t>
  </si>
  <si>
    <t>IX0029-1</t>
  </si>
  <si>
    <t>IX0029-2</t>
  </si>
  <si>
    <t>pagado 18/jul</t>
  </si>
  <si>
    <t>180 + $6,030</t>
  </si>
  <si>
    <t>pago</t>
  </si>
  <si>
    <t>SVR (25%)</t>
  </si>
  <si>
    <t>Margen</t>
  </si>
  <si>
    <t>tc</t>
  </si>
  <si>
    <t>cobro (5%)</t>
  </si>
  <si>
    <t>IX0028-7</t>
  </si>
  <si>
    <t>pagado a arauco 4/ago</t>
  </si>
  <si>
    <t>X0030</t>
  </si>
  <si>
    <t>IX0030-1</t>
  </si>
  <si>
    <t>IX0030-2</t>
  </si>
  <si>
    <t>IX0030-3</t>
  </si>
  <si>
    <t>IX0030-4</t>
  </si>
  <si>
    <t>IX0030-5</t>
  </si>
  <si>
    <t>IX0030-6</t>
  </si>
  <si>
    <t>pago por adelantado PVR</t>
  </si>
  <si>
    <t>X0031</t>
  </si>
  <si>
    <t>IX0031</t>
  </si>
  <si>
    <t>GRUPO CORPORATIVO PAPELERA S.A. DE C.V.</t>
  </si>
  <si>
    <t>Laredo</t>
  </si>
  <si>
    <t>restante</t>
  </si>
  <si>
    <t>restante 1000 ton</t>
  </si>
  <si>
    <t>X0032</t>
  </si>
  <si>
    <t>X0033</t>
  </si>
  <si>
    <t>pagado 4/sep</t>
  </si>
  <si>
    <t>pagado 1/sep</t>
  </si>
  <si>
    <t>Pagado</t>
  </si>
  <si>
    <t>Pendiente</t>
  </si>
  <si>
    <t>PO</t>
  </si>
  <si>
    <t xml:space="preserve">RESUMEN </t>
  </si>
  <si>
    <t>pagado 15/sep</t>
  </si>
  <si>
    <t>bajio</t>
  </si>
  <si>
    <t>orizaba</t>
  </si>
  <si>
    <t>morelia</t>
  </si>
  <si>
    <t>ecatepec</t>
  </si>
  <si>
    <t>monto</t>
  </si>
  <si>
    <t>toneladas</t>
  </si>
  <si>
    <t>margen</t>
  </si>
  <si>
    <t>Orizaba</t>
  </si>
  <si>
    <t>X0034</t>
  </si>
  <si>
    <t>IX0033-1</t>
  </si>
  <si>
    <t>IX0033-2</t>
  </si>
  <si>
    <t>IX0033-3</t>
  </si>
  <si>
    <t>IX0033-4</t>
  </si>
  <si>
    <t>IX0033-5</t>
  </si>
  <si>
    <t>IX0033-6</t>
  </si>
  <si>
    <t>IX0033-7</t>
  </si>
  <si>
    <t>IX0033-8</t>
  </si>
  <si>
    <t>IX0034-1</t>
  </si>
  <si>
    <t>IX0034-2</t>
  </si>
  <si>
    <t>IX0034-3</t>
  </si>
  <si>
    <t>IX0034-4</t>
  </si>
  <si>
    <t>IX0034-5</t>
  </si>
  <si>
    <t>IX0034-6</t>
  </si>
  <si>
    <t>IX0034-7</t>
  </si>
  <si>
    <t>IX0034-8</t>
  </si>
  <si>
    <t>KCM</t>
  </si>
  <si>
    <t>Scribe</t>
  </si>
  <si>
    <t>X0035</t>
  </si>
  <si>
    <t>IX0035-1</t>
  </si>
  <si>
    <t>IX0035-2</t>
  </si>
  <si>
    <t>GCP</t>
  </si>
  <si>
    <t>IX0034-9</t>
  </si>
  <si>
    <t>IX0034-10</t>
  </si>
  <si>
    <t>IX0034-11</t>
  </si>
  <si>
    <t>pagado 9/oct</t>
  </si>
  <si>
    <t>TOTAL 3000 tons</t>
  </si>
  <si>
    <t>Golf 12 abr (a favor EBO)</t>
  </si>
  <si>
    <t>coachella (a favor PVR)</t>
  </si>
  <si>
    <t>Golf 23 mayo (a favor EBO)</t>
  </si>
  <si>
    <t>pagado a pablo 26 mayo</t>
  </si>
  <si>
    <t>Golf 17 agosto (a favor EBO)</t>
  </si>
  <si>
    <t>Golf 23 agosto (A favor PVR)</t>
  </si>
  <si>
    <t>Golf 17 oct (A favor PVR)</t>
  </si>
  <si>
    <t>colosio efectivo (100mil pesos tc 18.3)</t>
  </si>
  <si>
    <t>%</t>
  </si>
  <si>
    <t>pagado 20/oct</t>
  </si>
  <si>
    <t>ramos</t>
  </si>
  <si>
    <t>IX0032-1</t>
  </si>
  <si>
    <t>IX0032-2</t>
  </si>
  <si>
    <t>IX0032-3</t>
  </si>
  <si>
    <t>X0036</t>
  </si>
  <si>
    <t>IX0036-1</t>
  </si>
  <si>
    <t>IX0036-2</t>
  </si>
  <si>
    <t>pagado 21/oct</t>
  </si>
  <si>
    <t>pagado 30/oct</t>
  </si>
  <si>
    <t>restante 1000 tons 21/oct</t>
  </si>
  <si>
    <t>X0037</t>
  </si>
  <si>
    <t>IX0037-1</t>
  </si>
  <si>
    <t>IX0037-2</t>
  </si>
  <si>
    <t>IX0037-3</t>
  </si>
  <si>
    <t>X0038</t>
  </si>
  <si>
    <t>IX0038-1</t>
  </si>
  <si>
    <t>IX0038-2</t>
  </si>
  <si>
    <t>IX0038-3</t>
  </si>
  <si>
    <t>IX0038-4</t>
  </si>
  <si>
    <t>IX0038-5</t>
  </si>
  <si>
    <t>IX0038-6</t>
  </si>
  <si>
    <t>IX0038-7</t>
  </si>
  <si>
    <t>a pagar a PVR</t>
  </si>
  <si>
    <t>Utilidad Total</t>
  </si>
  <si>
    <t>Utilidad PVR</t>
  </si>
  <si>
    <t>precio</t>
  </si>
  <si>
    <t>Precio</t>
  </si>
  <si>
    <t>tonelada</t>
  </si>
  <si>
    <t>total costo</t>
  </si>
  <si>
    <t>costo tonelada</t>
  </si>
  <si>
    <t>costo flete/ton</t>
  </si>
  <si>
    <t>origen</t>
  </si>
  <si>
    <t>destino</t>
  </si>
  <si>
    <t>austin</t>
  </si>
  <si>
    <t>rio grande</t>
  </si>
  <si>
    <t>san antonio</t>
  </si>
  <si>
    <t>phoenix</t>
  </si>
  <si>
    <t>el paso</t>
  </si>
  <si>
    <t>taylor</t>
  </si>
  <si>
    <t>mty</t>
  </si>
  <si>
    <t>durango</t>
  </si>
  <si>
    <t>pagado 18/nov</t>
  </si>
  <si>
    <t>pagado 2/dic</t>
  </si>
  <si>
    <t>pagado 12/nov</t>
  </si>
  <si>
    <t>tonelada (promedio)</t>
  </si>
  <si>
    <t>costo real</t>
  </si>
  <si>
    <t>dif</t>
  </si>
  <si>
    <t>utlidad 1</t>
  </si>
  <si>
    <t>X0039</t>
  </si>
  <si>
    <t>IX0039-1</t>
  </si>
  <si>
    <t>IX0039-2</t>
  </si>
  <si>
    <t>IX0039-3</t>
  </si>
  <si>
    <t>IX0039-4</t>
  </si>
  <si>
    <t>IX0039-5</t>
  </si>
  <si>
    <t>IX0039-6</t>
  </si>
  <si>
    <t>IX0039-7</t>
  </si>
  <si>
    <t>pendiente PVR</t>
  </si>
  <si>
    <t>adelanto PVR</t>
  </si>
  <si>
    <t>pagado 16/dic</t>
  </si>
  <si>
    <t>costo</t>
  </si>
  <si>
    <t>pagado 19/dic</t>
  </si>
  <si>
    <t>surcharge logistico</t>
  </si>
  <si>
    <t>comision (3%)</t>
  </si>
  <si>
    <t>precio convertipap</t>
  </si>
  <si>
    <t>propuesta</t>
  </si>
  <si>
    <t>precio suzano</t>
  </si>
  <si>
    <t>precio real</t>
  </si>
  <si>
    <t>cip mill tlaxala</t>
  </si>
  <si>
    <t>laredo-tlaxcala</t>
  </si>
  <si>
    <t>CIF Laredo</t>
  </si>
  <si>
    <t>CIF Tuxpan</t>
  </si>
  <si>
    <t>diferencia flete laredo/tuxpan</t>
  </si>
  <si>
    <t>idea</t>
  </si>
  <si>
    <t>entregar en planta y subirle al menos unos $15-$20 usd/ton al margen obtenido por la comision con suzano</t>
  </si>
  <si>
    <t>3% comision</t>
  </si>
  <si>
    <t>4% financiamiento</t>
  </si>
  <si>
    <t>comision (3/5/5.5/6/7/8%)</t>
  </si>
  <si>
    <t>X0040</t>
  </si>
  <si>
    <t>IX0040-1</t>
  </si>
  <si>
    <t>IX0040-2</t>
  </si>
  <si>
    <t>IX0040-3</t>
  </si>
  <si>
    <t>IX0040-4</t>
  </si>
  <si>
    <t>IX0040-5</t>
  </si>
  <si>
    <t>IX0040-6</t>
  </si>
  <si>
    <t>X0041</t>
  </si>
  <si>
    <t>IX0041-1</t>
  </si>
  <si>
    <t>IX0041-2</t>
  </si>
  <si>
    <t>Utilidades 2026</t>
  </si>
  <si>
    <t>FLETE</t>
  </si>
  <si>
    <t>INCOTERM</t>
  </si>
  <si>
    <t>DAP Eagle Pass</t>
  </si>
  <si>
    <t>DAP Laredo</t>
  </si>
  <si>
    <t>Veracruz</t>
  </si>
  <si>
    <t>CIF Veracruz</t>
  </si>
  <si>
    <t xml:space="preserve">SVR </t>
  </si>
  <si>
    <t>Fecha de pago</t>
  </si>
  <si>
    <t>proveedor</t>
  </si>
  <si>
    <t>IX0041-3</t>
  </si>
  <si>
    <t>IX0041-4</t>
  </si>
  <si>
    <t>IX0041-5</t>
  </si>
  <si>
    <t>IX0041-6</t>
  </si>
  <si>
    <t>X0042</t>
  </si>
  <si>
    <t>IX0042-1</t>
  </si>
  <si>
    <t>IX0042-2</t>
  </si>
  <si>
    <t>IX0042-3</t>
  </si>
  <si>
    <t>IX0042-4</t>
  </si>
  <si>
    <t>IX0042-5</t>
  </si>
  <si>
    <t>IX0042-6</t>
  </si>
  <si>
    <t>IX0042-7</t>
  </si>
  <si>
    <t>IX0042-8</t>
  </si>
  <si>
    <t>IX0042-9</t>
  </si>
  <si>
    <t>X0043</t>
  </si>
  <si>
    <t>IX0043-1</t>
  </si>
  <si>
    <t>IX0043-2</t>
  </si>
  <si>
    <t>IX0043-3</t>
  </si>
  <si>
    <t>IX0043-4</t>
  </si>
  <si>
    <t>IX0043-5</t>
  </si>
  <si>
    <t>IX0043-6</t>
  </si>
  <si>
    <t>IX0043-7</t>
  </si>
  <si>
    <t>IX0043-8</t>
  </si>
  <si>
    <t>IX0043-9</t>
  </si>
  <si>
    <t>proteina</t>
  </si>
  <si>
    <t xml:space="preserve">ostion </t>
  </si>
  <si>
    <t>unidad</t>
  </si>
  <si>
    <t>piezas</t>
  </si>
  <si>
    <t>camaron</t>
  </si>
  <si>
    <t>kg</t>
  </si>
  <si>
    <t>pescado blanco</t>
  </si>
  <si>
    <t>atun</t>
  </si>
  <si>
    <t>callo</t>
  </si>
  <si>
    <t>03/20/26</t>
  </si>
  <si>
    <t>IX0043-10</t>
  </si>
  <si>
    <t>IX0043-11</t>
  </si>
  <si>
    <t>IX0043-12</t>
  </si>
  <si>
    <t>540 extra</t>
  </si>
  <si>
    <t>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</si>
</sst>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$-80A]#,##0.00"/>
    <numFmt numFmtId="165" formatCode="0.000"/>
    <numFmt numFmtId="168" formatCode="[$-F800]dddd\,\ mmmm\ dd\,\ yyyy"/>
    <numFmt numFmtId="169" formatCode="0.0"/>
    <numFmt numFmtId="178" formatCode="0.0%"/>
    <numFmt numFmtId="181" formatCode="mm/dd/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Helvetica Neue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0"/>
      <color indexed="8"/>
      <name val="Helvetica Neue"/>
      <family val="2"/>
    </font>
    <font>
      <sz val="10"/>
      <color rgb="FF000000"/>
      <name val="Helvetica"/>
      <family val="2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4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wrapText="1"/>
    </xf>
    <xf numFmtId="10" fontId="0" fillId="0" borderId="0" xfId="0" applyNumberFormat="1"/>
    <xf numFmtId="17" fontId="4" fillId="0" borderId="0" xfId="0" applyNumberFormat="1" applyFont="1" applyAlignment="1">
      <alignment wrapText="1"/>
    </xf>
    <xf numFmtId="0" fontId="4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8" fontId="4" fillId="0" borderId="0" xfId="0" applyNumberFormat="1" applyFont="1" applyAlignment="1">
      <alignment wrapText="1"/>
    </xf>
    <xf numFmtId="44" fontId="0" fillId="0" borderId="0" xfId="1" applyFont="1"/>
    <xf numFmtId="9" fontId="0" fillId="0" borderId="0" xfId="1" applyNumberFormat="1" applyFont="1"/>
    <xf numFmtId="8" fontId="0" fillId="0" borderId="0" xfId="0" applyNumberFormat="1"/>
    <xf numFmtId="10" fontId="0" fillId="0" borderId="0" xfId="1" applyNumberFormat="1" applyFont="1"/>
    <xf numFmtId="8" fontId="9" fillId="0" borderId="0" xfId="0" applyNumberFormat="1" applyFont="1"/>
    <xf numFmtId="0" fontId="4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8" fontId="4" fillId="3" borderId="0" xfId="0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8" fontId="7" fillId="4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8" fontId="4" fillId="7" borderId="0" xfId="0" applyNumberFormat="1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vertical="center" wrapText="1"/>
    </xf>
    <xf numFmtId="8" fontId="4" fillId="8" borderId="0" xfId="0" applyNumberFormat="1" applyFont="1" applyFill="1" applyAlignment="1">
      <alignment horizontal="center" wrapText="1"/>
    </xf>
    <xf numFmtId="0" fontId="0" fillId="7" borderId="0" xfId="0" applyFill="1"/>
    <xf numFmtId="0" fontId="12" fillId="0" borderId="0" xfId="0" applyFont="1" applyAlignment="1">
      <alignment wrapText="1"/>
    </xf>
    <xf numFmtId="0" fontId="13" fillId="0" borderId="0" xfId="0" applyFont="1"/>
    <xf numFmtId="165" fontId="4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44" fontId="4" fillId="0" borderId="0" xfId="1" applyFont="1" applyAlignment="1">
      <alignment vertical="center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10" fillId="0" borderId="0" xfId="0" applyFont="1"/>
    <xf numFmtId="44" fontId="4" fillId="7" borderId="0" xfId="0" applyNumberFormat="1" applyFont="1" applyFill="1" applyAlignment="1">
      <alignment horizontal="center" wrapText="1"/>
    </xf>
    <xf numFmtId="44" fontId="0" fillId="0" borderId="0" xfId="0" applyNumberFormat="1"/>
    <xf numFmtId="8" fontId="0" fillId="9" borderId="0" xfId="0" applyNumberFormat="1" applyFill="1"/>
    <xf numFmtId="44" fontId="0" fillId="10" borderId="0" xfId="0" applyNumberFormat="1" applyFill="1"/>
    <xf numFmtId="0" fontId="10" fillId="0" borderId="0" xfId="0" applyFont="1" applyAlignment="1">
      <alignment horizontal="center" wrapText="1"/>
    </xf>
    <xf numFmtId="8" fontId="10" fillId="11" borderId="0" xfId="0" applyNumberFormat="1" applyFont="1" applyFill="1"/>
    <xf numFmtId="8" fontId="5" fillId="10" borderId="0" xfId="0" applyNumberFormat="1" applyFont="1" applyFill="1"/>
    <xf numFmtId="0" fontId="0" fillId="10" borderId="0" xfId="0" applyFill="1"/>
    <xf numFmtId="44" fontId="0" fillId="10" borderId="0" xfId="1" applyFont="1" applyFill="1"/>
    <xf numFmtId="8" fontId="0" fillId="10" borderId="0" xfId="0" applyNumberFormat="1" applyFill="1"/>
    <xf numFmtId="0" fontId="0" fillId="0" borderId="2" xfId="0" applyBorder="1"/>
    <xf numFmtId="8" fontId="0" fillId="0" borderId="2" xfId="0" applyNumberFormat="1" applyBorder="1"/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10" borderId="0" xfId="0" applyFill="1" applyAlignment="1">
      <alignment horizontal="center" wrapText="1"/>
    </xf>
    <xf numFmtId="0" fontId="12" fillId="0" borderId="0" xfId="0" applyFont="1" applyAlignment="1">
      <alignment horizontal="center" wrapText="1"/>
    </xf>
    <xf numFmtId="44" fontId="4" fillId="0" borderId="0" xfId="1" applyFont="1" applyAlignment="1">
      <alignment horizontal="center" vertical="center" wrapText="1"/>
    </xf>
    <xf numFmtId="168" fontId="4" fillId="0" borderId="0" xfId="0" applyNumberFormat="1" applyFont="1" applyAlignment="1">
      <alignment wrapText="1"/>
    </xf>
    <xf numFmtId="14" fontId="5" fillId="0" borderId="0" xfId="0" applyNumberFormat="1" applyFont="1"/>
    <xf numFmtId="1" fontId="4" fillId="0" borderId="0" xfId="0" applyNumberFormat="1" applyFont="1" applyAlignment="1">
      <alignment wrapText="1"/>
    </xf>
    <xf numFmtId="0" fontId="15" fillId="7" borderId="0" xfId="0" applyFont="1" applyFill="1" applyAlignment="1">
      <alignment horizontal="center" wrapText="1"/>
    </xf>
    <xf numFmtId="8" fontId="12" fillId="0" borderId="0" xfId="0" applyNumberFormat="1" applyFont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8" fontId="0" fillId="0" borderId="0" xfId="0" applyNumberFormat="1" applyBorder="1"/>
    <xf numFmtId="8" fontId="0" fillId="0" borderId="7" xfId="0" applyNumberForma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8" fontId="0" fillId="0" borderId="10" xfId="0" applyNumberFormat="1" applyBorder="1"/>
    <xf numFmtId="0" fontId="0" fillId="0" borderId="0" xfId="0" applyFill="1" applyBorder="1"/>
    <xf numFmtId="0" fontId="0" fillId="0" borderId="9" xfId="0" applyFill="1" applyBorder="1"/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44" fontId="0" fillId="0" borderId="0" xfId="1" applyFont="1" applyAlignment="1">
      <alignment vertical="top"/>
    </xf>
    <xf numFmtId="44" fontId="0" fillId="0" borderId="2" xfId="1" applyFont="1" applyBorder="1"/>
    <xf numFmtId="0" fontId="17" fillId="0" borderId="0" xfId="0" applyFont="1"/>
    <xf numFmtId="0" fontId="10" fillId="0" borderId="2" xfId="0" applyFont="1" applyBorder="1"/>
    <xf numFmtId="44" fontId="10" fillId="0" borderId="2" xfId="1" applyFont="1" applyBorder="1"/>
    <xf numFmtId="9" fontId="0" fillId="0" borderId="0" xfId="0" applyNumberFormat="1"/>
    <xf numFmtId="0" fontId="10" fillId="0" borderId="2" xfId="0" applyFont="1" applyBorder="1" applyAlignment="1">
      <alignment horizontal="right"/>
    </xf>
    <xf numFmtId="44" fontId="0" fillId="0" borderId="2" xfId="0" applyNumberFormat="1" applyBorder="1"/>
    <xf numFmtId="8" fontId="18" fillId="0" borderId="2" xfId="0" applyNumberFormat="1" applyFont="1" applyBorder="1"/>
    <xf numFmtId="0" fontId="10" fillId="0" borderId="2" xfId="0" applyFont="1" applyBorder="1" applyAlignment="1">
      <alignment horizontal="center" wrapText="1"/>
    </xf>
    <xf numFmtId="44" fontId="4" fillId="0" borderId="0" xfId="1" applyFont="1" applyAlignment="1">
      <alignment wrapText="1"/>
    </xf>
    <xf numFmtId="44" fontId="4" fillId="0" borderId="0" xfId="0" applyNumberFormat="1" applyFont="1" applyAlignment="1">
      <alignment wrapText="1"/>
    </xf>
    <xf numFmtId="169" fontId="0" fillId="0" borderId="0" xfId="0" applyNumberFormat="1"/>
    <xf numFmtId="8" fontId="0" fillId="12" borderId="0" xfId="0" applyNumberFormat="1" applyFill="1" applyBorder="1"/>
    <xf numFmtId="8" fontId="0" fillId="12" borderId="7" xfId="0" applyNumberFormat="1" applyFill="1" applyBorder="1"/>
    <xf numFmtId="8" fontId="0" fillId="0" borderId="7" xfId="0" applyNumberFormat="1" applyFill="1" applyBorder="1"/>
    <xf numFmtId="0" fontId="0" fillId="12" borderId="0" xfId="0" applyFill="1" applyBorder="1"/>
    <xf numFmtId="0" fontId="0" fillId="0" borderId="0" xfId="0" applyNumberFormat="1"/>
    <xf numFmtId="44" fontId="0" fillId="0" borderId="6" xfId="1" applyFont="1" applyBorder="1"/>
    <xf numFmtId="44" fontId="0" fillId="0" borderId="7" xfId="1" applyFont="1" applyBorder="1"/>
    <xf numFmtId="44" fontId="0" fillId="0" borderId="6" xfId="0" applyNumberFormat="1" applyBorder="1"/>
    <xf numFmtId="44" fontId="0" fillId="0" borderId="7" xfId="0" applyNumberFormat="1" applyBorder="1"/>
    <xf numFmtId="0" fontId="0" fillId="0" borderId="10" xfId="0" applyBorder="1"/>
    <xf numFmtId="8" fontId="0" fillId="11" borderId="7" xfId="0" applyNumberFormat="1" applyFill="1" applyBorder="1"/>
    <xf numFmtId="9" fontId="10" fillId="0" borderId="0" xfId="0" applyNumberFormat="1" applyFont="1"/>
    <xf numFmtId="8" fontId="0" fillId="13" borderId="0" xfId="0" applyNumberFormat="1" applyFill="1"/>
    <xf numFmtId="44" fontId="0" fillId="13" borderId="0" xfId="0" applyNumberFormat="1" applyFill="1"/>
    <xf numFmtId="9" fontId="0" fillId="0" borderId="0" xfId="3" applyFont="1"/>
    <xf numFmtId="0" fontId="10" fillId="0" borderId="11" xfId="0" applyFont="1" applyFill="1" applyBorder="1"/>
    <xf numFmtId="0" fontId="10" fillId="0" borderId="0" xfId="0" applyFont="1" applyFill="1" applyBorder="1"/>
    <xf numFmtId="0" fontId="10" fillId="0" borderId="2" xfId="0" applyFont="1" applyFill="1" applyBorder="1"/>
    <xf numFmtId="43" fontId="0" fillId="0" borderId="0" xfId="2" applyFont="1"/>
    <xf numFmtId="43" fontId="0" fillId="0" borderId="0" xfId="0" applyNumberFormat="1"/>
    <xf numFmtId="0" fontId="0" fillId="0" borderId="0" xfId="1" applyNumberFormat="1" applyFont="1"/>
    <xf numFmtId="0" fontId="0" fillId="0" borderId="0" xfId="3" applyNumberFormat="1" applyFont="1"/>
    <xf numFmtId="10" fontId="0" fillId="0" borderId="2" xfId="0" applyNumberFormat="1" applyBorder="1"/>
    <xf numFmtId="9" fontId="10" fillId="0" borderId="2" xfId="0" applyNumberFormat="1" applyFont="1" applyBorder="1"/>
    <xf numFmtId="178" fontId="10" fillId="0" borderId="2" xfId="0" applyNumberFormat="1" applyFont="1" applyBorder="1"/>
    <xf numFmtId="0" fontId="19" fillId="11" borderId="12" xfId="0" applyFont="1" applyFill="1" applyBorder="1" applyAlignment="1">
      <alignment horizontal="center" vertical="center" wrapText="1"/>
    </xf>
    <xf numFmtId="0" fontId="19" fillId="11" borderId="13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0" fillId="11" borderId="0" xfId="0" applyFill="1"/>
    <xf numFmtId="16" fontId="10" fillId="0" borderId="2" xfId="0" applyNumberFormat="1" applyFont="1" applyBorder="1"/>
    <xf numFmtId="0" fontId="10" fillId="0" borderId="2" xfId="0" applyFont="1" applyBorder="1" applyAlignment="1">
      <alignment horizontal="center" wrapText="1"/>
    </xf>
    <xf numFmtId="16" fontId="0" fillId="0" borderId="2" xfId="0" applyNumberFormat="1" applyBorder="1"/>
    <xf numFmtId="181" fontId="0" fillId="0" borderId="2" xfId="0" applyNumberFormat="1" applyBorder="1"/>
    <xf numFmtId="181" fontId="14" fillId="0" borderId="2" xfId="0" applyNumberFormat="1" applyFont="1" applyBorder="1"/>
    <xf numFmtId="1" fontId="14" fillId="0" borderId="2" xfId="0" applyNumberFormat="1" applyFont="1" applyBorder="1"/>
    <xf numFmtId="0" fontId="14" fillId="0" borderId="2" xfId="0" applyFont="1" applyBorder="1"/>
  </cellXfs>
  <cellStyles count="5">
    <cellStyle name="Millares" xfId="2" builtinId="3"/>
    <cellStyle name="Moneda" xfId="1" builtinId="4"/>
    <cellStyle name="Normal" xfId="0" builtinId="0"/>
    <cellStyle name="Normal 2" xfId="4" xr:uid="{FA547BE7-C2AC-2C4D-82F5-48AD55D96C3D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4A7-44BB-EF45-AA03-B01A671D9B12}">
  <dimension ref="A3:AR342"/>
  <sheetViews>
    <sheetView tabSelected="1" topLeftCell="V194" zoomScale="107" zoomScaleNormal="64" zoomScaleSheetLayoutView="100" workbookViewId="0">
      <selection activeCell="AD212" sqref="AD212"/>
    </sheetView>
  </sheetViews>
  <sheetFormatPr baseColWidth="10" defaultColWidth="8.83203125" defaultRowHeight="15" x14ac:dyDescent="0.2"/>
  <cols>
    <col min="1" max="1" width="14" bestFit="1" customWidth="1"/>
    <col min="3" max="3" width="20.33203125" bestFit="1" customWidth="1"/>
    <col min="4" max="4" width="16.33203125" bestFit="1" customWidth="1"/>
    <col min="5" max="5" width="25.83203125" bestFit="1" customWidth="1"/>
    <col min="6" max="6" width="34.5" bestFit="1" customWidth="1"/>
    <col min="7" max="7" width="41.33203125" bestFit="1" customWidth="1"/>
    <col min="8" max="11" width="33.5" customWidth="1"/>
    <col min="12" max="14" width="29.5" customWidth="1"/>
    <col min="15" max="15" width="18.33203125" customWidth="1"/>
    <col min="16" max="16" width="30.6640625" customWidth="1"/>
    <col min="17" max="17" width="20.5" customWidth="1"/>
    <col min="18" max="18" width="14.83203125" bestFit="1" customWidth="1"/>
    <col min="19" max="19" width="17.83203125" bestFit="1" customWidth="1"/>
    <col min="20" max="20" width="33.6640625" bestFit="1" customWidth="1"/>
    <col min="21" max="21" width="16.6640625" customWidth="1"/>
    <col min="22" max="22" width="33.6640625" customWidth="1"/>
    <col min="23" max="23" width="20.83203125" customWidth="1"/>
    <col min="24" max="24" width="12.5" bestFit="1" customWidth="1"/>
    <col min="25" max="25" width="17.1640625" bestFit="1" customWidth="1"/>
    <col min="26" max="26" width="33.6640625" bestFit="1" customWidth="1"/>
    <col min="27" max="27" width="27.33203125" customWidth="1"/>
    <col min="28" max="28" width="25.1640625" bestFit="1" customWidth="1"/>
    <col min="29" max="29" width="21.5" customWidth="1"/>
    <col min="30" max="30" width="16.6640625" customWidth="1"/>
    <col min="31" max="31" width="49.5" customWidth="1"/>
    <col min="32" max="32" width="21" bestFit="1" customWidth="1"/>
    <col min="33" max="33" width="14.83203125" bestFit="1" customWidth="1"/>
    <col min="34" max="34" width="20.33203125" bestFit="1" customWidth="1"/>
    <col min="35" max="35" width="22.33203125" bestFit="1" customWidth="1"/>
    <col min="36" max="38" width="15.83203125" customWidth="1"/>
    <col min="39" max="39" width="16.83203125" bestFit="1" customWidth="1"/>
    <col min="40" max="40" width="13.6640625" bestFit="1" customWidth="1"/>
    <col min="42" max="42" width="12.6640625" bestFit="1" customWidth="1"/>
    <col min="43" max="43" width="11.1640625" bestFit="1" customWidth="1"/>
    <col min="44" max="44" width="25.83203125" bestFit="1" customWidth="1"/>
  </cols>
  <sheetData>
    <row r="3" spans="1:44" s="1" customFormat="1" ht="24" x14ac:dyDescent="0.3">
      <c r="C3" s="2" t="s">
        <v>38</v>
      </c>
      <c r="D3" s="2" t="s">
        <v>37</v>
      </c>
      <c r="F3" s="1" t="s">
        <v>186</v>
      </c>
      <c r="G3" s="1" t="s">
        <v>187</v>
      </c>
      <c r="H3" s="1" t="s">
        <v>189</v>
      </c>
      <c r="I3" s="1" t="s">
        <v>190</v>
      </c>
      <c r="J3" s="1" t="s">
        <v>191</v>
      </c>
      <c r="K3" s="1" t="s">
        <v>42</v>
      </c>
      <c r="L3" s="2" t="s">
        <v>0</v>
      </c>
      <c r="M3" s="2" t="s">
        <v>374</v>
      </c>
      <c r="N3" s="2"/>
      <c r="O3" s="2" t="s">
        <v>1</v>
      </c>
      <c r="P3" s="2" t="s">
        <v>2</v>
      </c>
      <c r="Q3" s="2" t="s">
        <v>3</v>
      </c>
      <c r="R3" s="2" t="s">
        <v>4</v>
      </c>
      <c r="S3" s="2" t="s">
        <v>57</v>
      </c>
      <c r="T3" s="2" t="s">
        <v>59</v>
      </c>
      <c r="U3" s="2" t="s">
        <v>373</v>
      </c>
      <c r="V3" s="2" t="s">
        <v>60</v>
      </c>
      <c r="W3" s="2" t="s">
        <v>5</v>
      </c>
      <c r="X3" s="2" t="s">
        <v>6</v>
      </c>
      <c r="Y3" s="2" t="s">
        <v>57</v>
      </c>
      <c r="Z3" s="2" t="s">
        <v>59</v>
      </c>
      <c r="AA3" s="2" t="s">
        <v>373</v>
      </c>
      <c r="AB3" s="2" t="s">
        <v>58</v>
      </c>
      <c r="AC3" s="2" t="s">
        <v>7</v>
      </c>
      <c r="AD3" s="2" t="s">
        <v>8</v>
      </c>
      <c r="AE3" s="2" t="s">
        <v>9</v>
      </c>
    </row>
    <row r="4" spans="1:44" ht="32" x14ac:dyDescent="0.2">
      <c r="B4" s="3" t="s">
        <v>10</v>
      </c>
      <c r="C4" s="3">
        <v>131293</v>
      </c>
      <c r="D4" s="3" t="s">
        <v>11</v>
      </c>
      <c r="E4" s="3" t="s">
        <v>12</v>
      </c>
      <c r="F4" s="3" t="s">
        <v>13</v>
      </c>
      <c r="G4" s="3" t="s">
        <v>14</v>
      </c>
      <c r="H4" s="3"/>
      <c r="I4" s="3"/>
      <c r="J4" s="3"/>
      <c r="K4" s="3"/>
      <c r="L4" s="21">
        <v>1113002102</v>
      </c>
      <c r="M4" s="21"/>
      <c r="N4" s="21"/>
      <c r="O4" s="21">
        <v>509.33600000000001</v>
      </c>
      <c r="P4" s="5" t="s">
        <v>15</v>
      </c>
      <c r="Q4" s="21" t="s">
        <v>16</v>
      </c>
      <c r="R4" s="22">
        <v>600</v>
      </c>
      <c r="S4" s="22"/>
      <c r="T4" s="22"/>
      <c r="U4" s="22"/>
      <c r="V4" s="22"/>
      <c r="W4" s="23">
        <f>+R4*O4</f>
        <v>305601.60000000003</v>
      </c>
      <c r="X4" s="22">
        <v>545</v>
      </c>
      <c r="Y4" s="22"/>
      <c r="Z4" s="22"/>
      <c r="AA4" s="22"/>
      <c r="AB4" s="22"/>
      <c r="AC4" s="23">
        <f>+X4*O4</f>
        <v>277588.12</v>
      </c>
      <c r="AD4" s="23">
        <f>+W4-AC4</f>
        <v>28013.48000000004</v>
      </c>
    </row>
    <row r="5" spans="1:44" s="6" customFormat="1" ht="20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24" t="s">
        <v>17</v>
      </c>
      <c r="M5" s="24"/>
      <c r="N5" s="24"/>
      <c r="O5" s="24">
        <v>508.33600000000001</v>
      </c>
      <c r="P5" s="8"/>
      <c r="Q5" s="24"/>
      <c r="R5" s="24"/>
      <c r="S5" s="24"/>
      <c r="T5" s="24"/>
      <c r="U5" s="24"/>
      <c r="V5" s="24"/>
      <c r="W5" s="25">
        <v>305001.59999999998</v>
      </c>
      <c r="X5" s="24"/>
      <c r="Y5" s="24"/>
      <c r="Z5" s="24"/>
      <c r="AA5" s="24"/>
      <c r="AB5" s="24"/>
      <c r="AC5" s="25">
        <v>277043.12</v>
      </c>
      <c r="AD5" s="25">
        <v>27958.48</v>
      </c>
    </row>
    <row r="6" spans="1:44" ht="32" x14ac:dyDescent="0.2">
      <c r="B6" s="3" t="s">
        <v>18</v>
      </c>
      <c r="C6" s="3">
        <v>131875</v>
      </c>
      <c r="D6" s="3" t="s">
        <v>19</v>
      </c>
      <c r="E6" s="3" t="s">
        <v>12</v>
      </c>
      <c r="F6" s="3" t="s">
        <v>13</v>
      </c>
      <c r="G6" s="3" t="s">
        <v>14</v>
      </c>
      <c r="H6" s="3"/>
      <c r="I6" s="3"/>
      <c r="J6" s="3"/>
      <c r="K6" s="3"/>
      <c r="L6" s="21">
        <v>1113002175</v>
      </c>
      <c r="M6" s="21"/>
      <c r="N6" s="21"/>
      <c r="O6" s="21">
        <v>701.68</v>
      </c>
      <c r="P6" s="5" t="s">
        <v>15</v>
      </c>
      <c r="Q6" s="21" t="s">
        <v>16</v>
      </c>
      <c r="R6" s="22">
        <v>650</v>
      </c>
      <c r="S6" s="22"/>
      <c r="T6" s="22"/>
      <c r="U6" s="22"/>
      <c r="V6" s="22"/>
      <c r="W6" s="23">
        <v>456092</v>
      </c>
      <c r="X6" s="22">
        <v>580</v>
      </c>
      <c r="Y6" s="22"/>
      <c r="Z6" s="22"/>
      <c r="AA6" s="22"/>
      <c r="AB6" s="22"/>
      <c r="AC6" s="23">
        <f>+X6*O6</f>
        <v>406974.39999999997</v>
      </c>
      <c r="AD6" s="23">
        <f>+W6-AC6</f>
        <v>49117.600000000035</v>
      </c>
    </row>
    <row r="7" spans="1:44" ht="32" x14ac:dyDescent="0.2">
      <c r="B7" s="3" t="s">
        <v>18</v>
      </c>
      <c r="C7" s="3">
        <v>131876</v>
      </c>
      <c r="D7" s="3" t="s">
        <v>20</v>
      </c>
      <c r="E7" s="3" t="s">
        <v>12</v>
      </c>
      <c r="F7" s="3" t="s">
        <v>13</v>
      </c>
      <c r="G7" s="3" t="s">
        <v>14</v>
      </c>
      <c r="H7" s="3"/>
      <c r="I7" s="3"/>
      <c r="J7" s="3"/>
      <c r="K7" s="3"/>
      <c r="L7" s="21">
        <v>1113002175</v>
      </c>
      <c r="M7" s="21"/>
      <c r="N7" s="21"/>
      <c r="O7" s="21">
        <v>699.72</v>
      </c>
      <c r="P7" s="5" t="s">
        <v>15</v>
      </c>
      <c r="Q7" s="21" t="s">
        <v>16</v>
      </c>
      <c r="R7" s="22">
        <v>650</v>
      </c>
      <c r="S7" s="22"/>
      <c r="T7" s="22"/>
      <c r="U7" s="22"/>
      <c r="V7" s="22"/>
      <c r="W7" s="23">
        <f>+R7*O7</f>
        <v>454818</v>
      </c>
      <c r="X7" s="22">
        <v>580</v>
      </c>
      <c r="Y7" s="22"/>
      <c r="Z7" s="22"/>
      <c r="AA7" s="22"/>
      <c r="AB7" s="22"/>
      <c r="AC7" s="23">
        <f>+X7*O7</f>
        <v>405837.60000000003</v>
      </c>
      <c r="AD7" s="23">
        <f>+W7-AC7</f>
        <v>48980.399999999965</v>
      </c>
    </row>
    <row r="8" spans="1:44" s="6" customFormat="1" ht="20" x14ac:dyDescent="0.25">
      <c r="C8" s="7"/>
      <c r="D8" s="7"/>
      <c r="E8" s="7"/>
      <c r="F8" s="7"/>
      <c r="G8" s="7"/>
      <c r="H8" s="7"/>
      <c r="I8" s="7"/>
      <c r="J8" s="7"/>
      <c r="K8" s="7"/>
      <c r="L8" s="24" t="s">
        <v>17</v>
      </c>
      <c r="M8" s="24"/>
      <c r="N8" s="24"/>
      <c r="O8" s="24">
        <f>+SUM(O6:O7)</f>
        <v>1401.4</v>
      </c>
      <c r="P8" s="8"/>
      <c r="Q8" s="24"/>
      <c r="R8" s="24"/>
      <c r="S8" s="24"/>
      <c r="T8" s="24"/>
      <c r="U8" s="24"/>
      <c r="V8" s="24"/>
      <c r="W8" s="25">
        <v>910910</v>
      </c>
      <c r="X8" s="24"/>
      <c r="Y8" s="24"/>
      <c r="Z8" s="24"/>
      <c r="AA8" s="24"/>
      <c r="AB8" s="24"/>
      <c r="AC8" s="25">
        <v>812812</v>
      </c>
      <c r="AD8" s="25">
        <v>98098</v>
      </c>
    </row>
    <row r="9" spans="1:44" ht="32" x14ac:dyDescent="0.2">
      <c r="A9" s="3"/>
      <c r="B9" s="3" t="s">
        <v>21</v>
      </c>
      <c r="C9" s="3">
        <v>132730</v>
      </c>
      <c r="D9" s="3" t="s">
        <v>22</v>
      </c>
      <c r="E9" s="3" t="s">
        <v>12</v>
      </c>
      <c r="F9" s="3" t="s">
        <v>13</v>
      </c>
      <c r="G9" s="3" t="s">
        <v>14</v>
      </c>
      <c r="H9" s="3"/>
      <c r="I9" s="3"/>
      <c r="J9" s="3"/>
      <c r="K9" s="3"/>
      <c r="L9" s="21">
        <v>3100021657</v>
      </c>
      <c r="M9" s="21"/>
      <c r="N9" s="21"/>
      <c r="O9" s="21">
        <v>508.56</v>
      </c>
      <c r="P9" s="5" t="s">
        <v>15</v>
      </c>
      <c r="Q9" s="21" t="s">
        <v>16</v>
      </c>
      <c r="R9" s="22">
        <v>675</v>
      </c>
      <c r="S9" s="22"/>
      <c r="T9" s="22"/>
      <c r="U9" s="22"/>
      <c r="V9" s="22"/>
      <c r="W9" s="23">
        <f>+R9*O9</f>
        <v>343278</v>
      </c>
      <c r="X9" s="22">
        <v>620</v>
      </c>
      <c r="Y9" s="22"/>
      <c r="Z9" s="22"/>
      <c r="AA9" s="22"/>
      <c r="AB9" s="22"/>
      <c r="AC9" s="23">
        <f>+X9*O9</f>
        <v>315307.2</v>
      </c>
      <c r="AD9" s="23">
        <f>+W9-AC9</f>
        <v>27970.799999999988</v>
      </c>
      <c r="AE9" s="3"/>
      <c r="AF9" s="9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ht="32" x14ac:dyDescent="0.2">
      <c r="A10" s="3"/>
      <c r="B10" s="3" t="s">
        <v>21</v>
      </c>
      <c r="C10" s="3"/>
      <c r="D10" s="3" t="s">
        <v>23</v>
      </c>
      <c r="E10" s="3" t="s">
        <v>12</v>
      </c>
      <c r="F10" s="3" t="s">
        <v>13</v>
      </c>
      <c r="G10" s="3" t="s">
        <v>14</v>
      </c>
      <c r="H10" s="3"/>
      <c r="I10" s="3"/>
      <c r="J10" s="3"/>
      <c r="K10" s="3"/>
      <c r="L10" s="21">
        <v>3100021657</v>
      </c>
      <c r="M10" s="21"/>
      <c r="N10" s="21"/>
      <c r="O10" s="21">
        <v>508.56</v>
      </c>
      <c r="P10" s="5" t="s">
        <v>15</v>
      </c>
      <c r="Q10" s="21" t="s">
        <v>16</v>
      </c>
      <c r="R10" s="22">
        <v>675</v>
      </c>
      <c r="S10" s="22"/>
      <c r="T10" s="22"/>
      <c r="U10" s="22"/>
      <c r="V10" s="22"/>
      <c r="W10" s="23">
        <f>+R10*O10</f>
        <v>343278</v>
      </c>
      <c r="X10" s="22">
        <v>620</v>
      </c>
      <c r="Y10" s="22"/>
      <c r="Z10" s="22"/>
      <c r="AA10" s="22"/>
      <c r="AB10" s="22"/>
      <c r="AC10" s="23">
        <f>+X10*O10</f>
        <v>315307.2</v>
      </c>
      <c r="AD10" s="23">
        <f t="shared" ref="AD10:AD12" si="0">+W10-AC10</f>
        <v>27970.799999999988</v>
      </c>
      <c r="AE10" s="3"/>
      <c r="AF10" s="9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ht="32" x14ac:dyDescent="0.2">
      <c r="A11" s="3"/>
      <c r="B11" s="3" t="s">
        <v>21</v>
      </c>
      <c r="C11" s="3"/>
      <c r="D11" s="3" t="s">
        <v>24</v>
      </c>
      <c r="E11" s="3" t="s">
        <v>12</v>
      </c>
      <c r="F11" s="3" t="s">
        <v>13</v>
      </c>
      <c r="G11" s="3" t="s">
        <v>14</v>
      </c>
      <c r="H11" s="3"/>
      <c r="I11" s="3"/>
      <c r="J11" s="3"/>
      <c r="K11" s="3"/>
      <c r="L11" s="21">
        <v>3100021657</v>
      </c>
      <c r="M11" s="21"/>
      <c r="N11" s="21"/>
      <c r="O11" s="21">
        <v>508.56</v>
      </c>
      <c r="P11" s="5" t="s">
        <v>15</v>
      </c>
      <c r="Q11" s="21" t="s">
        <v>16</v>
      </c>
      <c r="R11" s="22">
        <v>675</v>
      </c>
      <c r="S11" s="22"/>
      <c r="T11" s="22"/>
      <c r="U11" s="22"/>
      <c r="V11" s="22"/>
      <c r="W11" s="23">
        <f>+R11*O11</f>
        <v>343278</v>
      </c>
      <c r="X11" s="22">
        <v>620</v>
      </c>
      <c r="Y11" s="22"/>
      <c r="Z11" s="22"/>
      <c r="AA11" s="22"/>
      <c r="AB11" s="22"/>
      <c r="AC11" s="23">
        <f>+X11*O11</f>
        <v>315307.2</v>
      </c>
      <c r="AD11" s="23">
        <f t="shared" si="0"/>
        <v>27970.799999999988</v>
      </c>
      <c r="AE11" s="3"/>
      <c r="AF11" s="9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ht="32" x14ac:dyDescent="0.2">
      <c r="A12" s="3"/>
      <c r="B12" s="3" t="s">
        <v>21</v>
      </c>
      <c r="C12" s="3"/>
      <c r="D12" s="3" t="s">
        <v>25</v>
      </c>
      <c r="E12" s="3" t="s">
        <v>12</v>
      </c>
      <c r="F12" s="3" t="s">
        <v>13</v>
      </c>
      <c r="G12" s="3" t="s">
        <v>14</v>
      </c>
      <c r="H12" s="3"/>
      <c r="I12" s="3"/>
      <c r="J12" s="3"/>
      <c r="K12" s="3"/>
      <c r="L12" s="21">
        <v>3100021657</v>
      </c>
      <c r="M12" s="21"/>
      <c r="N12" s="21"/>
      <c r="O12" s="21">
        <v>496.82400000000001</v>
      </c>
      <c r="P12" s="5" t="s">
        <v>15</v>
      </c>
      <c r="Q12" s="21" t="s">
        <v>16</v>
      </c>
      <c r="R12" s="22">
        <v>675</v>
      </c>
      <c r="S12" s="22"/>
      <c r="T12" s="22"/>
      <c r="U12" s="22"/>
      <c r="V12" s="22"/>
      <c r="W12" s="23">
        <f>+R12*O12</f>
        <v>335356.2</v>
      </c>
      <c r="X12" s="22">
        <v>620</v>
      </c>
      <c r="Y12" s="22"/>
      <c r="Z12" s="22"/>
      <c r="AA12" s="22"/>
      <c r="AB12" s="22"/>
      <c r="AC12" s="23">
        <f>+X12*O12</f>
        <v>308030.88</v>
      </c>
      <c r="AD12" s="23">
        <f t="shared" si="0"/>
        <v>27325.320000000007</v>
      </c>
      <c r="AE12" s="3"/>
      <c r="AF12" s="9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s="6" customFormat="1" ht="20" x14ac:dyDescent="0.25">
      <c r="C13" s="7"/>
      <c r="D13" s="7"/>
      <c r="E13" s="7"/>
      <c r="F13" s="7"/>
      <c r="G13" s="7"/>
      <c r="H13" s="7"/>
      <c r="I13" s="7"/>
      <c r="J13" s="7"/>
      <c r="K13" s="7"/>
      <c r="L13" s="24" t="s">
        <v>17</v>
      </c>
      <c r="M13" s="24"/>
      <c r="N13" s="24"/>
      <c r="O13" s="24">
        <f>+SUM(O9:O12)</f>
        <v>2022.5040000000001</v>
      </c>
      <c r="P13" s="8"/>
      <c r="Q13" s="24"/>
      <c r="R13" s="24"/>
      <c r="S13" s="24"/>
      <c r="T13" s="24"/>
      <c r="U13" s="24"/>
      <c r="V13" s="24"/>
      <c r="W13" s="25">
        <f t="shared" ref="W13:AD13" si="1">+SUM(W9:W12)</f>
        <v>1365190.2</v>
      </c>
      <c r="X13" s="24">
        <f t="shared" si="1"/>
        <v>2480</v>
      </c>
      <c r="Y13" s="24"/>
      <c r="Z13" s="24"/>
      <c r="AA13" s="24"/>
      <c r="AB13" s="24"/>
      <c r="AC13" s="25">
        <f t="shared" si="1"/>
        <v>1253952.48</v>
      </c>
      <c r="AD13" s="25">
        <f t="shared" si="1"/>
        <v>111237.71999999997</v>
      </c>
    </row>
    <row r="14" spans="1:44" ht="32" x14ac:dyDescent="0.2">
      <c r="A14" s="3"/>
      <c r="B14" s="3" t="s">
        <v>26</v>
      </c>
      <c r="C14" s="3"/>
      <c r="D14" s="3" t="s">
        <v>27</v>
      </c>
      <c r="E14" s="3" t="s">
        <v>12</v>
      </c>
      <c r="F14" s="3" t="s">
        <v>13</v>
      </c>
      <c r="G14" s="3" t="s">
        <v>14</v>
      </c>
      <c r="H14" s="3"/>
      <c r="I14" s="3"/>
      <c r="J14" s="3"/>
      <c r="K14" s="3"/>
      <c r="L14" s="21">
        <v>3100021657</v>
      </c>
      <c r="M14" s="21"/>
      <c r="N14" s="21"/>
      <c r="O14" s="21">
        <v>514.54</v>
      </c>
      <c r="P14" s="5" t="s">
        <v>15</v>
      </c>
      <c r="Q14" s="21" t="s">
        <v>16</v>
      </c>
      <c r="R14" s="22">
        <v>675</v>
      </c>
      <c r="S14" s="22"/>
      <c r="T14" s="22"/>
      <c r="U14" s="22"/>
      <c r="V14" s="22"/>
      <c r="W14" s="23">
        <f>+R14*O14</f>
        <v>347314.5</v>
      </c>
      <c r="X14" s="22">
        <v>620</v>
      </c>
      <c r="Y14" s="22"/>
      <c r="Z14" s="22"/>
      <c r="AA14" s="22"/>
      <c r="AB14" s="22"/>
      <c r="AC14" s="23">
        <f>+X14*O14</f>
        <v>319014.8</v>
      </c>
      <c r="AD14" s="23">
        <f>+W14-AC14</f>
        <v>28299.700000000012</v>
      </c>
      <c r="AE14" s="3"/>
      <c r="AF14" s="3"/>
      <c r="AH14" s="10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32" x14ac:dyDescent="0.2">
      <c r="A15" s="3"/>
      <c r="B15" s="3" t="s">
        <v>26</v>
      </c>
      <c r="C15" s="3"/>
      <c r="D15" s="3" t="s">
        <v>28</v>
      </c>
      <c r="E15" s="3" t="s">
        <v>12</v>
      </c>
      <c r="F15" s="3" t="s">
        <v>13</v>
      </c>
      <c r="G15" s="3" t="s">
        <v>14</v>
      </c>
      <c r="H15" s="3"/>
      <c r="I15" s="3"/>
      <c r="J15" s="3"/>
      <c r="K15" s="3"/>
      <c r="L15" s="21">
        <v>3100021657</v>
      </c>
      <c r="M15" s="21"/>
      <c r="N15" s="21"/>
      <c r="O15" s="21">
        <v>514.54</v>
      </c>
      <c r="P15" s="5" t="s">
        <v>15</v>
      </c>
      <c r="Q15" s="21" t="s">
        <v>16</v>
      </c>
      <c r="R15" s="22">
        <v>675</v>
      </c>
      <c r="S15" s="22"/>
      <c r="T15" s="22"/>
      <c r="U15" s="22"/>
      <c r="V15" s="22"/>
      <c r="W15" s="23">
        <f>+R15*O15</f>
        <v>347314.5</v>
      </c>
      <c r="X15" s="22">
        <v>620</v>
      </c>
      <c r="Y15" s="22"/>
      <c r="Z15" s="22"/>
      <c r="AA15" s="22"/>
      <c r="AB15" s="22"/>
      <c r="AC15" s="23">
        <f>+X15*O15</f>
        <v>319014.8</v>
      </c>
      <c r="AD15" s="23">
        <f t="shared" ref="AD15:AD17" si="2">+W15-AC15</f>
        <v>28299.700000000012</v>
      </c>
      <c r="AE15" s="3"/>
      <c r="AF15" s="3"/>
      <c r="AH15" s="10"/>
      <c r="AI15" s="10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32" x14ac:dyDescent="0.2">
      <c r="A16" s="3"/>
      <c r="B16" s="3" t="s">
        <v>26</v>
      </c>
      <c r="C16" s="3"/>
      <c r="D16" s="3" t="s">
        <v>29</v>
      </c>
      <c r="E16" s="3" t="s">
        <v>12</v>
      </c>
      <c r="F16" s="3" t="s">
        <v>13</v>
      </c>
      <c r="G16" s="3" t="s">
        <v>14</v>
      </c>
      <c r="H16" s="3"/>
      <c r="I16" s="3"/>
      <c r="J16" s="3"/>
      <c r="K16" s="3"/>
      <c r="L16" s="21">
        <v>3100021657</v>
      </c>
      <c r="M16" s="21"/>
      <c r="N16" s="21"/>
      <c r="O16" s="21">
        <v>488.81299999999999</v>
      </c>
      <c r="P16" s="5" t="s">
        <v>15</v>
      </c>
      <c r="Q16" s="21" t="s">
        <v>16</v>
      </c>
      <c r="R16" s="22">
        <v>675</v>
      </c>
      <c r="S16" s="22"/>
      <c r="T16" s="22"/>
      <c r="U16" s="22"/>
      <c r="V16" s="22"/>
      <c r="W16" s="23">
        <f>+R16*O16</f>
        <v>329948.77499999997</v>
      </c>
      <c r="X16" s="22">
        <v>620</v>
      </c>
      <c r="Y16" s="22"/>
      <c r="Z16" s="22"/>
      <c r="AA16" s="22"/>
      <c r="AB16" s="22"/>
      <c r="AC16" s="23">
        <f>+X16*O16</f>
        <v>303064.06</v>
      </c>
      <c r="AD16" s="23">
        <f t="shared" si="2"/>
        <v>26884.714999999967</v>
      </c>
      <c r="AE16" s="3"/>
      <c r="AF16" s="3"/>
      <c r="AH16" s="10"/>
      <c r="AI16" s="10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32" x14ac:dyDescent="0.2">
      <c r="A17" s="3"/>
      <c r="B17" s="3" t="s">
        <v>26</v>
      </c>
      <c r="C17" s="3"/>
      <c r="D17" s="3" t="s">
        <v>30</v>
      </c>
      <c r="E17" s="3" t="s">
        <v>12</v>
      </c>
      <c r="F17" s="3" t="s">
        <v>13</v>
      </c>
      <c r="G17" s="3" t="s">
        <v>14</v>
      </c>
      <c r="H17" s="3"/>
      <c r="I17" s="3"/>
      <c r="J17" s="3"/>
      <c r="K17" s="3"/>
      <c r="L17" s="21">
        <v>3100021657</v>
      </c>
      <c r="M17" s="21"/>
      <c r="N17" s="21"/>
      <c r="O17" s="21">
        <v>488.81299999999999</v>
      </c>
      <c r="P17" s="5" t="s">
        <v>15</v>
      </c>
      <c r="Q17" s="21" t="s">
        <v>16</v>
      </c>
      <c r="R17" s="22">
        <v>675</v>
      </c>
      <c r="S17" s="22"/>
      <c r="T17" s="22"/>
      <c r="U17" s="22"/>
      <c r="V17" s="22"/>
      <c r="W17" s="23">
        <f>+R17*O17</f>
        <v>329948.77499999997</v>
      </c>
      <c r="X17" s="22">
        <v>620</v>
      </c>
      <c r="Y17" s="22"/>
      <c r="Z17" s="22"/>
      <c r="AA17" s="22"/>
      <c r="AB17" s="22"/>
      <c r="AC17" s="23">
        <f>+X17*O17</f>
        <v>303064.06</v>
      </c>
      <c r="AD17" s="23">
        <f t="shared" si="2"/>
        <v>26884.714999999967</v>
      </c>
      <c r="AE17" s="3"/>
      <c r="AF17" s="3"/>
      <c r="AI17" s="10"/>
      <c r="AJ17" s="3"/>
      <c r="AK17" s="3"/>
      <c r="AL17" s="3"/>
      <c r="AM17" s="3"/>
      <c r="AN17" s="3"/>
      <c r="AO17" s="3"/>
      <c r="AP17" s="3"/>
      <c r="AQ17" s="3"/>
      <c r="AR17" s="3"/>
    </row>
    <row r="18" spans="1:44" s="6" customFormat="1" ht="20" x14ac:dyDescent="0.25">
      <c r="C18" s="7"/>
      <c r="D18" s="7"/>
      <c r="E18" s="7"/>
      <c r="F18" s="7"/>
      <c r="G18" s="7"/>
      <c r="H18" s="7"/>
      <c r="I18" s="7"/>
      <c r="J18" s="7"/>
      <c r="K18" s="7"/>
      <c r="L18" s="24" t="s">
        <v>17</v>
      </c>
      <c r="M18" s="24"/>
      <c r="N18" s="24"/>
      <c r="O18" s="24">
        <f>+SUM(O14:O17)</f>
        <v>2006.7060000000001</v>
      </c>
      <c r="P18" s="8"/>
      <c r="Q18" s="24"/>
      <c r="R18" s="24"/>
      <c r="S18" s="24"/>
      <c r="T18" s="24"/>
      <c r="U18" s="24"/>
      <c r="V18" s="24"/>
      <c r="W18" s="25">
        <f>+SUM(W14:W17)</f>
        <v>1354526.5499999998</v>
      </c>
      <c r="X18" s="24"/>
      <c r="Y18" s="24"/>
      <c r="Z18" s="24"/>
      <c r="AA18" s="24"/>
      <c r="AB18" s="24"/>
      <c r="AC18" s="25">
        <f>+SUM(AC14:AC17)</f>
        <v>1244157.72</v>
      </c>
      <c r="AD18" s="25">
        <f>+SUM(AD14:AD17)</f>
        <v>110368.82999999996</v>
      </c>
    </row>
    <row r="19" spans="1:44" ht="32" x14ac:dyDescent="0.2">
      <c r="A19" s="3" t="s">
        <v>40</v>
      </c>
      <c r="B19" s="3" t="s">
        <v>31</v>
      </c>
      <c r="C19" s="11"/>
      <c r="D19" s="3" t="s">
        <v>32</v>
      </c>
      <c r="E19" s="3" t="s">
        <v>12</v>
      </c>
      <c r="F19" s="3" t="s">
        <v>13</v>
      </c>
      <c r="G19" s="3" t="s">
        <v>14</v>
      </c>
      <c r="H19" s="3"/>
      <c r="I19" s="3"/>
      <c r="J19" s="3"/>
      <c r="K19" s="59">
        <v>1135</v>
      </c>
      <c r="L19" s="26">
        <v>1113002292</v>
      </c>
      <c r="M19" s="26"/>
      <c r="N19" s="26"/>
      <c r="O19" s="21">
        <v>510.29599999999999</v>
      </c>
      <c r="P19" s="5" t="s">
        <v>15</v>
      </c>
      <c r="Q19" s="21" t="s">
        <v>16</v>
      </c>
      <c r="R19" s="23">
        <f>$K$19*0.6</f>
        <v>681</v>
      </c>
      <c r="S19" s="23"/>
      <c r="T19" s="23"/>
      <c r="U19" s="23"/>
      <c r="V19" s="23"/>
      <c r="W19" s="23">
        <f>O19*R19</f>
        <v>347511.576</v>
      </c>
      <c r="X19" s="23">
        <f>$K$19*0.54</f>
        <v>612.90000000000009</v>
      </c>
      <c r="Y19" s="23"/>
      <c r="Z19" s="23"/>
      <c r="AA19" s="23"/>
      <c r="AB19" s="23"/>
      <c r="AC19" s="23">
        <f>X19*O19</f>
        <v>312760.41840000002</v>
      </c>
      <c r="AD19" s="23">
        <f>+W19-AC19</f>
        <v>34751.157599999977</v>
      </c>
      <c r="AE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1:44" ht="32" x14ac:dyDescent="0.2">
      <c r="A20" s="3" t="s">
        <v>40</v>
      </c>
      <c r="B20" s="3" t="s">
        <v>31</v>
      </c>
      <c r="C20" s="3"/>
      <c r="D20" s="3" t="s">
        <v>33</v>
      </c>
      <c r="E20" s="3" t="s">
        <v>12</v>
      </c>
      <c r="F20" s="3" t="s">
        <v>13</v>
      </c>
      <c r="G20" s="3" t="s">
        <v>14</v>
      </c>
      <c r="H20" s="3"/>
      <c r="I20" s="3"/>
      <c r="J20" s="3"/>
      <c r="K20" s="59"/>
      <c r="L20" s="26">
        <v>1113002292</v>
      </c>
      <c r="M20" s="26"/>
      <c r="N20" s="26"/>
      <c r="O20" s="21">
        <v>507.27199999999999</v>
      </c>
      <c r="P20" s="5" t="s">
        <v>15</v>
      </c>
      <c r="Q20" s="21" t="s">
        <v>16</v>
      </c>
      <c r="R20" s="23">
        <f t="shared" ref="R20:R22" si="3">$K$19*0.6</f>
        <v>681</v>
      </c>
      <c r="S20" s="23"/>
      <c r="T20" s="23"/>
      <c r="U20" s="23"/>
      <c r="V20" s="23"/>
      <c r="W20" s="23">
        <f>O20*R20</f>
        <v>345452.23200000002</v>
      </c>
      <c r="X20" s="23">
        <f t="shared" ref="X20:X22" si="4">$K$19*0.54</f>
        <v>612.90000000000009</v>
      </c>
      <c r="Y20" s="23"/>
      <c r="Z20" s="23"/>
      <c r="AA20" s="23"/>
      <c r="AB20" s="23"/>
      <c r="AC20" s="23">
        <f>X20*O20</f>
        <v>310907.00880000007</v>
      </c>
      <c r="AD20" s="23">
        <f t="shared" ref="AD20:AD22" si="5">+W20-AC20</f>
        <v>34545.223199999949</v>
      </c>
      <c r="AE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1:44" ht="32" x14ac:dyDescent="0.2">
      <c r="A21" s="3" t="s">
        <v>40</v>
      </c>
      <c r="B21" s="3" t="s">
        <v>31</v>
      </c>
      <c r="C21" s="3"/>
      <c r="D21" s="3" t="s">
        <v>34</v>
      </c>
      <c r="E21" s="3" t="s">
        <v>12</v>
      </c>
      <c r="F21" s="3" t="s">
        <v>13</v>
      </c>
      <c r="G21" s="3" t="s">
        <v>14</v>
      </c>
      <c r="H21" s="3"/>
      <c r="I21" s="3"/>
      <c r="J21" s="3"/>
      <c r="K21" s="59"/>
      <c r="L21" s="26">
        <v>1113002292</v>
      </c>
      <c r="M21" s="26"/>
      <c r="N21" s="26"/>
      <c r="O21" s="21">
        <v>963.41800000000001</v>
      </c>
      <c r="P21" s="5" t="s">
        <v>15</v>
      </c>
      <c r="Q21" s="21" t="s">
        <v>16</v>
      </c>
      <c r="R21" s="23">
        <f t="shared" si="3"/>
        <v>681</v>
      </c>
      <c r="S21" s="23"/>
      <c r="T21" s="23"/>
      <c r="U21" s="23"/>
      <c r="V21" s="23"/>
      <c r="W21" s="23">
        <f>O21*R21</f>
        <v>656087.65800000005</v>
      </c>
      <c r="X21" s="23">
        <f t="shared" si="4"/>
        <v>612.90000000000009</v>
      </c>
      <c r="Y21" s="23"/>
      <c r="Z21" s="23"/>
      <c r="AA21" s="23"/>
      <c r="AB21" s="23"/>
      <c r="AC21" s="23">
        <f>X21*O21</f>
        <v>590478.89220000012</v>
      </c>
      <c r="AD21" s="23">
        <f t="shared" si="5"/>
        <v>65608.765799999936</v>
      </c>
      <c r="AE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1:44" ht="32" x14ac:dyDescent="0.2">
      <c r="A22" s="3" t="s">
        <v>40</v>
      </c>
      <c r="B22" s="3" t="s">
        <v>31</v>
      </c>
      <c r="C22" s="3"/>
      <c r="D22" s="3" t="s">
        <v>35</v>
      </c>
      <c r="E22" s="3" t="s">
        <v>12</v>
      </c>
      <c r="F22" s="3" t="s">
        <v>13</v>
      </c>
      <c r="G22" s="3" t="s">
        <v>14</v>
      </c>
      <c r="H22" s="3"/>
      <c r="I22" s="3"/>
      <c r="J22" s="3"/>
      <c r="K22" s="59"/>
      <c r="L22" s="26">
        <v>1113002292</v>
      </c>
      <c r="M22" s="26"/>
      <c r="N22" s="26"/>
      <c r="O22" s="21">
        <v>961.96299999999997</v>
      </c>
      <c r="P22" s="5" t="s">
        <v>15</v>
      </c>
      <c r="Q22" s="21" t="s">
        <v>16</v>
      </c>
      <c r="R22" s="23">
        <f t="shared" si="3"/>
        <v>681</v>
      </c>
      <c r="S22" s="23"/>
      <c r="T22" s="23"/>
      <c r="U22" s="23"/>
      <c r="V22" s="23"/>
      <c r="W22" s="23">
        <f>O22*R22</f>
        <v>655096.80299999996</v>
      </c>
      <c r="X22" s="23">
        <f t="shared" si="4"/>
        <v>612.90000000000009</v>
      </c>
      <c r="Y22" s="23"/>
      <c r="Z22" s="23"/>
      <c r="AA22" s="23"/>
      <c r="AB22" s="23"/>
      <c r="AC22" s="23">
        <f>X22*O22</f>
        <v>589587.12270000007</v>
      </c>
      <c r="AD22" s="23">
        <f t="shared" si="5"/>
        <v>65509.680299999891</v>
      </c>
      <c r="AE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1:44" s="6" customFormat="1" ht="20" x14ac:dyDescent="0.25">
      <c r="C23" s="7"/>
      <c r="D23" s="7"/>
      <c r="E23" s="7"/>
      <c r="F23" s="7"/>
      <c r="G23" s="7"/>
      <c r="H23" s="7"/>
      <c r="I23" s="7"/>
      <c r="J23" s="7"/>
      <c r="K23" s="7"/>
      <c r="L23" s="24" t="s">
        <v>17</v>
      </c>
      <c r="M23" s="24"/>
      <c r="N23" s="24"/>
      <c r="O23" s="24">
        <f>+SUM(O19:O22)</f>
        <v>2942.9489999999996</v>
      </c>
      <c r="P23" s="8"/>
      <c r="Q23" s="24"/>
      <c r="R23" s="24"/>
      <c r="S23" s="24"/>
      <c r="T23" s="24"/>
      <c r="U23" s="24"/>
      <c r="V23" s="24"/>
      <c r="W23" s="25">
        <f>+SUM(W19:W22)</f>
        <v>2004148.2689999999</v>
      </c>
      <c r="X23" s="24"/>
      <c r="Y23" s="24"/>
      <c r="Z23" s="24"/>
      <c r="AA23" s="24"/>
      <c r="AB23" s="24"/>
      <c r="AC23" s="25">
        <f>+SUM(AC19:AC22)</f>
        <v>1803733.4421000001</v>
      </c>
      <c r="AD23" s="25">
        <f>+SUM(AD19:AD22)</f>
        <v>200414.82689999975</v>
      </c>
    </row>
    <row r="24" spans="1:44" ht="42" customHeight="1" x14ac:dyDescent="0.2">
      <c r="A24" s="3" t="s">
        <v>39</v>
      </c>
      <c r="B24" s="3" t="s">
        <v>36</v>
      </c>
      <c r="C24" s="3"/>
      <c r="D24" s="3" t="s">
        <v>43</v>
      </c>
      <c r="E24" s="3" t="s">
        <v>12</v>
      </c>
      <c r="F24" s="3" t="s">
        <v>13</v>
      </c>
      <c r="G24" s="3" t="s">
        <v>14</v>
      </c>
      <c r="H24" s="3"/>
      <c r="I24" s="3"/>
      <c r="J24" s="3"/>
      <c r="K24" s="59">
        <v>1175</v>
      </c>
      <c r="L24" s="26">
        <v>1113002305</v>
      </c>
      <c r="M24" s="26"/>
      <c r="N24" s="26"/>
      <c r="O24" s="21">
        <v>151.99600000000001</v>
      </c>
      <c r="P24" s="5" t="s">
        <v>15</v>
      </c>
      <c r="Q24" s="21" t="s">
        <v>16</v>
      </c>
      <c r="R24" s="23">
        <f>$K$24*0.6</f>
        <v>705</v>
      </c>
      <c r="S24" s="23"/>
      <c r="T24" s="23"/>
      <c r="U24" s="23"/>
      <c r="V24" s="23"/>
      <c r="W24" s="23">
        <f>R24*O24</f>
        <v>107157.18000000001</v>
      </c>
      <c r="X24" s="23">
        <f>$K$24*0.54</f>
        <v>634.5</v>
      </c>
      <c r="Y24" s="23"/>
      <c r="Z24" s="23"/>
      <c r="AA24" s="23"/>
      <c r="AB24" s="23"/>
      <c r="AC24" s="23">
        <f>X24*O24</f>
        <v>96441.462</v>
      </c>
      <c r="AD24" s="23">
        <f t="shared" ref="AD24:AD30" si="6">+W24-AC24</f>
        <v>10715.718000000008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32" x14ac:dyDescent="0.2">
      <c r="A25" s="3" t="s">
        <v>39</v>
      </c>
      <c r="B25" s="3" t="s">
        <v>36</v>
      </c>
      <c r="C25" s="3"/>
      <c r="D25" s="3" t="s">
        <v>44</v>
      </c>
      <c r="E25" s="3" t="s">
        <v>12</v>
      </c>
      <c r="F25" s="3" t="s">
        <v>13</v>
      </c>
      <c r="G25" s="3" t="s">
        <v>14</v>
      </c>
      <c r="H25" s="3"/>
      <c r="I25" s="3"/>
      <c r="J25" s="3"/>
      <c r="K25" s="59"/>
      <c r="L25" s="26">
        <v>1113002305</v>
      </c>
      <c r="M25" s="26"/>
      <c r="N25" s="26"/>
      <c r="O25" s="21">
        <v>301.83999999999997</v>
      </c>
      <c r="P25" s="5" t="s">
        <v>15</v>
      </c>
      <c r="Q25" s="21" t="s">
        <v>16</v>
      </c>
      <c r="R25" s="23">
        <f t="shared" ref="R25:R30" si="7">$K$24*0.6</f>
        <v>705</v>
      </c>
      <c r="S25" s="23"/>
      <c r="T25" s="23"/>
      <c r="U25" s="23"/>
      <c r="V25" s="23"/>
      <c r="W25" s="23">
        <f>R25*O25</f>
        <v>212797.19999999998</v>
      </c>
      <c r="X25" s="23">
        <f t="shared" ref="X25:X30" si="8">$K$24*0.54</f>
        <v>634.5</v>
      </c>
      <c r="Y25" s="23"/>
      <c r="Z25" s="23"/>
      <c r="AA25" s="23"/>
      <c r="AB25" s="23"/>
      <c r="AC25" s="23">
        <f>X25*O25</f>
        <v>191517.47999999998</v>
      </c>
      <c r="AD25" s="23">
        <f t="shared" si="6"/>
        <v>21279.72</v>
      </c>
      <c r="AE25" s="14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ht="32" x14ac:dyDescent="0.2">
      <c r="A26" s="3" t="s">
        <v>39</v>
      </c>
      <c r="B26" s="3" t="s">
        <v>36</v>
      </c>
      <c r="C26" s="3"/>
      <c r="D26" s="3" t="s">
        <v>45</v>
      </c>
      <c r="E26" s="3" t="s">
        <v>12</v>
      </c>
      <c r="F26" s="3" t="s">
        <v>13</v>
      </c>
      <c r="G26" s="3" t="s">
        <v>14</v>
      </c>
      <c r="H26" s="3"/>
      <c r="I26" s="3"/>
      <c r="J26" s="3"/>
      <c r="K26" s="59"/>
      <c r="L26" s="26">
        <v>1113002305</v>
      </c>
      <c r="M26" s="26"/>
      <c r="N26" s="26"/>
      <c r="O26" s="21">
        <v>500.76499999999999</v>
      </c>
      <c r="P26" s="5" t="s">
        <v>15</v>
      </c>
      <c r="Q26" s="21" t="s">
        <v>16</v>
      </c>
      <c r="R26" s="23">
        <f t="shared" si="7"/>
        <v>705</v>
      </c>
      <c r="S26" s="23"/>
      <c r="T26" s="23"/>
      <c r="U26" s="23"/>
      <c r="V26" s="23"/>
      <c r="W26" s="23">
        <f>R26*O26</f>
        <v>353039.32500000001</v>
      </c>
      <c r="X26" s="23">
        <f t="shared" si="8"/>
        <v>634.5</v>
      </c>
      <c r="Y26" s="23"/>
      <c r="Z26" s="23"/>
      <c r="AA26" s="23"/>
      <c r="AB26" s="23"/>
      <c r="AC26" s="23">
        <f>X26*O26</f>
        <v>317735.39250000002</v>
      </c>
      <c r="AD26" s="23">
        <f t="shared" si="6"/>
        <v>35303.932499999995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32" x14ac:dyDescent="0.2">
      <c r="A27" s="3" t="s">
        <v>39</v>
      </c>
      <c r="B27" s="3" t="s">
        <v>36</v>
      </c>
      <c r="C27" s="3"/>
      <c r="D27" s="3" t="s">
        <v>46</v>
      </c>
      <c r="E27" s="3" t="s">
        <v>12</v>
      </c>
      <c r="F27" s="3" t="s">
        <v>13</v>
      </c>
      <c r="G27" s="3" t="s">
        <v>14</v>
      </c>
      <c r="H27" s="3"/>
      <c r="I27" s="3"/>
      <c r="J27" s="3"/>
      <c r="K27" s="59"/>
      <c r="L27" s="26">
        <v>1113002305</v>
      </c>
      <c r="M27" s="26"/>
      <c r="N27" s="26"/>
      <c r="O27" s="21">
        <v>500.76499999999999</v>
      </c>
      <c r="P27" s="5" t="s">
        <v>15</v>
      </c>
      <c r="Q27" s="21" t="s">
        <v>16</v>
      </c>
      <c r="R27" s="23">
        <f t="shared" si="7"/>
        <v>705</v>
      </c>
      <c r="S27" s="23"/>
      <c r="T27" s="23"/>
      <c r="U27" s="23"/>
      <c r="V27" s="23"/>
      <c r="W27" s="23">
        <f>R27*O27</f>
        <v>353039.32500000001</v>
      </c>
      <c r="X27" s="23">
        <f t="shared" si="8"/>
        <v>634.5</v>
      </c>
      <c r="Y27" s="23"/>
      <c r="Z27" s="23"/>
      <c r="AA27" s="23"/>
      <c r="AB27" s="23"/>
      <c r="AC27" s="23">
        <f>X27*O27</f>
        <v>317735.39250000002</v>
      </c>
      <c r="AD27" s="23">
        <f t="shared" si="6"/>
        <v>35303.932499999995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32" x14ac:dyDescent="0.2">
      <c r="A28" s="3" t="s">
        <v>39</v>
      </c>
      <c r="B28" s="3" t="s">
        <v>36</v>
      </c>
      <c r="C28" s="3"/>
      <c r="D28" s="3" t="s">
        <v>47</v>
      </c>
      <c r="E28" s="3" t="s">
        <v>12</v>
      </c>
      <c r="F28" s="3" t="s">
        <v>13</v>
      </c>
      <c r="G28" s="3" t="s">
        <v>14</v>
      </c>
      <c r="H28" s="3"/>
      <c r="I28" s="3"/>
      <c r="J28" s="3"/>
      <c r="K28" s="59"/>
      <c r="L28" s="26">
        <v>1113002305</v>
      </c>
      <c r="M28" s="26"/>
      <c r="N28" s="26"/>
      <c r="O28" s="21">
        <v>499.11799999999999</v>
      </c>
      <c r="P28" s="5" t="s">
        <v>15</v>
      </c>
      <c r="Q28" s="21" t="s">
        <v>16</v>
      </c>
      <c r="R28" s="23">
        <f>$K$24*0.6</f>
        <v>705</v>
      </c>
      <c r="S28" s="23"/>
      <c r="T28" s="23"/>
      <c r="U28" s="23"/>
      <c r="V28" s="23"/>
      <c r="W28" s="23">
        <f>R28*O28</f>
        <v>351878.19</v>
      </c>
      <c r="X28" s="23">
        <f t="shared" si="8"/>
        <v>634.5</v>
      </c>
      <c r="Y28" s="23"/>
      <c r="Z28" s="23"/>
      <c r="AA28" s="23"/>
      <c r="AB28" s="23"/>
      <c r="AC28" s="23">
        <f>X28*O28</f>
        <v>316690.37099999998</v>
      </c>
      <c r="AD28" s="23">
        <f t="shared" si="6"/>
        <v>35187.819000000018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32" x14ac:dyDescent="0.2">
      <c r="A29" s="3" t="s">
        <v>39</v>
      </c>
      <c r="B29" s="3" t="s">
        <v>36</v>
      </c>
      <c r="C29" s="3"/>
      <c r="D29" s="3" t="s">
        <v>52</v>
      </c>
      <c r="E29" s="3" t="s">
        <v>12</v>
      </c>
      <c r="F29" s="3" t="s">
        <v>13</v>
      </c>
      <c r="G29" s="3" t="s">
        <v>14</v>
      </c>
      <c r="H29" s="3"/>
      <c r="I29" s="3"/>
      <c r="J29" s="3"/>
      <c r="K29" s="59"/>
      <c r="L29" s="26">
        <v>1113002305</v>
      </c>
      <c r="M29" s="26"/>
      <c r="N29" s="26"/>
      <c r="O29" s="21">
        <v>499.12799999999999</v>
      </c>
      <c r="P29" s="5" t="s">
        <v>15</v>
      </c>
      <c r="Q29" s="21" t="s">
        <v>16</v>
      </c>
      <c r="R29" s="23">
        <v>705</v>
      </c>
      <c r="S29" s="23"/>
      <c r="T29" s="23"/>
      <c r="U29" s="23"/>
      <c r="V29" s="23"/>
      <c r="W29" s="23">
        <f>R29*O29</f>
        <v>351885.24</v>
      </c>
      <c r="X29" s="23">
        <f t="shared" si="8"/>
        <v>634.5</v>
      </c>
      <c r="Y29" s="23"/>
      <c r="Z29" s="23"/>
      <c r="AA29" s="23"/>
      <c r="AB29" s="23"/>
      <c r="AC29" s="23">
        <f>X29*O29</f>
        <v>316696.71600000001</v>
      </c>
      <c r="AD29" s="23">
        <f t="shared" ref="AD29" si="9">+W29-AC29</f>
        <v>35188.523999999976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32" x14ac:dyDescent="0.2">
      <c r="A30" s="3" t="s">
        <v>39</v>
      </c>
      <c r="B30" s="3" t="s">
        <v>36</v>
      </c>
      <c r="C30" s="3"/>
      <c r="D30" s="3" t="s">
        <v>55</v>
      </c>
      <c r="E30" s="3" t="s">
        <v>12</v>
      </c>
      <c r="F30" s="3" t="s">
        <v>13</v>
      </c>
      <c r="G30" s="3" t="s">
        <v>14</v>
      </c>
      <c r="H30" s="3"/>
      <c r="I30" s="3"/>
      <c r="J30" s="3"/>
      <c r="K30" s="59"/>
      <c r="L30" s="26">
        <v>1113002305</v>
      </c>
      <c r="M30" s="26"/>
      <c r="N30" s="26"/>
      <c r="O30" s="21">
        <v>499.01799999999997</v>
      </c>
      <c r="P30" s="5" t="s">
        <v>15</v>
      </c>
      <c r="Q30" s="21" t="s">
        <v>16</v>
      </c>
      <c r="R30" s="23">
        <f t="shared" si="7"/>
        <v>705</v>
      </c>
      <c r="S30" s="23"/>
      <c r="T30" s="23"/>
      <c r="U30" s="23"/>
      <c r="V30" s="23"/>
      <c r="W30" s="23">
        <f>R30*O30</f>
        <v>351807.69</v>
      </c>
      <c r="X30" s="23">
        <f t="shared" si="8"/>
        <v>634.5</v>
      </c>
      <c r="Y30" s="23"/>
      <c r="Z30" s="23"/>
      <c r="AA30" s="23"/>
      <c r="AB30" s="23"/>
      <c r="AC30" s="23">
        <f>X30*O30</f>
        <v>316626.92099999997</v>
      </c>
      <c r="AD30" s="23">
        <f t="shared" si="6"/>
        <v>35180.769000000029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s="6" customFormat="1" ht="20" x14ac:dyDescent="0.25">
      <c r="C31" s="7"/>
      <c r="D31" s="7"/>
      <c r="E31" s="7"/>
      <c r="F31" s="7"/>
      <c r="G31" s="7"/>
      <c r="H31" s="7"/>
      <c r="I31" s="7"/>
      <c r="J31" s="7"/>
      <c r="K31" s="7"/>
      <c r="L31" s="24" t="s">
        <v>17</v>
      </c>
      <c r="M31" s="24"/>
      <c r="N31" s="24"/>
      <c r="O31" s="24">
        <f>+SUM(O24:O30)</f>
        <v>2952.63</v>
      </c>
      <c r="P31" s="8"/>
      <c r="Q31" s="24"/>
      <c r="R31" s="24"/>
      <c r="S31" s="24"/>
      <c r="T31" s="24"/>
      <c r="U31" s="24"/>
      <c r="V31" s="24"/>
      <c r="W31" s="25">
        <f t="shared" ref="W31:AD31" si="10">+SUM(W24:W30)</f>
        <v>2081604.15</v>
      </c>
      <c r="X31" s="24"/>
      <c r="Y31" s="24"/>
      <c r="Z31" s="24"/>
      <c r="AA31" s="24"/>
      <c r="AB31" s="24"/>
      <c r="AC31" s="25">
        <f t="shared" si="10"/>
        <v>1873443.7349999999</v>
      </c>
      <c r="AD31" s="25">
        <f t="shared" si="10"/>
        <v>208160.41500000004</v>
      </c>
    </row>
    <row r="32" spans="1:44" ht="42" customHeight="1" x14ac:dyDescent="0.2">
      <c r="A32" s="3" t="s">
        <v>48</v>
      </c>
      <c r="B32" s="3" t="s">
        <v>49</v>
      </c>
      <c r="C32" s="3"/>
      <c r="D32" s="3" t="s">
        <v>54</v>
      </c>
      <c r="E32" s="3" t="s">
        <v>12</v>
      </c>
      <c r="F32" s="3" t="s">
        <v>13</v>
      </c>
      <c r="G32" s="3" t="s">
        <v>14</v>
      </c>
      <c r="H32" s="3"/>
      <c r="I32" s="3"/>
      <c r="J32" s="3"/>
      <c r="K32" s="59">
        <v>1415</v>
      </c>
      <c r="L32" s="26"/>
      <c r="M32" s="26"/>
      <c r="N32" s="26"/>
      <c r="O32" s="21">
        <v>499.08199999999999</v>
      </c>
      <c r="P32" s="5" t="s">
        <v>15</v>
      </c>
      <c r="Q32" s="21" t="s">
        <v>16</v>
      </c>
      <c r="R32" s="23">
        <f>$K$32*0.6</f>
        <v>849</v>
      </c>
      <c r="S32" s="23">
        <v>-15</v>
      </c>
      <c r="T32" s="23"/>
      <c r="U32" s="23"/>
      <c r="V32" s="23">
        <f>SUM(R32:S32)</f>
        <v>834</v>
      </c>
      <c r="W32" s="23">
        <f>O32*V32</f>
        <v>416234.38799999998</v>
      </c>
      <c r="X32" s="23">
        <f>($K$32*0.54)</f>
        <v>764.1</v>
      </c>
      <c r="Y32" s="23">
        <v>-15</v>
      </c>
      <c r="Z32" s="23"/>
      <c r="AA32" s="23"/>
      <c r="AB32" s="23">
        <f>SUM(X32:Z32)</f>
        <v>749.1</v>
      </c>
      <c r="AC32" s="23">
        <f>AB32*O32</f>
        <v>373862.32620000001</v>
      </c>
      <c r="AD32" s="23">
        <f>+W32-AC32</f>
        <v>42372.061799999967</v>
      </c>
      <c r="AE32" s="3"/>
      <c r="AF32" s="3"/>
      <c r="AG32" s="14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32" x14ac:dyDescent="0.2">
      <c r="A33" s="3" t="s">
        <v>48</v>
      </c>
      <c r="B33" s="3" t="s">
        <v>49</v>
      </c>
      <c r="C33" s="3"/>
      <c r="D33" s="3" t="s">
        <v>53</v>
      </c>
      <c r="E33" s="3" t="s">
        <v>12</v>
      </c>
      <c r="F33" s="3" t="s">
        <v>13</v>
      </c>
      <c r="G33" s="3" t="s">
        <v>14</v>
      </c>
      <c r="H33" s="3"/>
      <c r="I33" s="3"/>
      <c r="J33" s="3"/>
      <c r="K33" s="59"/>
      <c r="L33" s="26"/>
      <c r="M33" s="26"/>
      <c r="N33" s="26"/>
      <c r="O33" s="21">
        <v>499.01799999999997</v>
      </c>
      <c r="P33" s="5" t="s">
        <v>15</v>
      </c>
      <c r="Q33" s="21" t="s">
        <v>16</v>
      </c>
      <c r="R33" s="23">
        <f t="shared" ref="R33:R37" si="11">$K$32*0.6</f>
        <v>849</v>
      </c>
      <c r="S33" s="23">
        <v>-15</v>
      </c>
      <c r="T33" s="23"/>
      <c r="U33" s="23"/>
      <c r="V33" s="23">
        <f>SUM(R33:S33)</f>
        <v>834</v>
      </c>
      <c r="W33" s="23">
        <f>O33*V33</f>
        <v>416181.01199999999</v>
      </c>
      <c r="X33" s="23">
        <f t="shared" ref="X33:X37" si="12">($K$32*0.54)</f>
        <v>764.1</v>
      </c>
      <c r="Y33" s="23">
        <v>-15</v>
      </c>
      <c r="Z33" s="23"/>
      <c r="AA33" s="23"/>
      <c r="AB33" s="23">
        <f t="shared" ref="AB33:AB37" si="13">SUM(X33:Z33)</f>
        <v>749.1</v>
      </c>
      <c r="AC33" s="23">
        <f>AB33*O33</f>
        <v>373814.38380000001</v>
      </c>
      <c r="AD33" s="23">
        <f t="shared" ref="AD33:AD37" si="14">+W33-AC33</f>
        <v>42366.628199999977</v>
      </c>
      <c r="AE33" s="3"/>
      <c r="AF33" s="3"/>
      <c r="AG33" s="14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32" x14ac:dyDescent="0.2">
      <c r="A34" s="3" t="s">
        <v>48</v>
      </c>
      <c r="B34" s="3" t="s">
        <v>49</v>
      </c>
      <c r="C34" s="3"/>
      <c r="D34" s="3" t="s">
        <v>56</v>
      </c>
      <c r="E34" s="3" t="s">
        <v>12</v>
      </c>
      <c r="F34" s="3" t="s">
        <v>13</v>
      </c>
      <c r="G34" s="3" t="s">
        <v>14</v>
      </c>
      <c r="H34" s="3"/>
      <c r="I34" s="3"/>
      <c r="J34" s="3"/>
      <c r="K34" s="59"/>
      <c r="L34" s="26"/>
      <c r="M34" s="26"/>
      <c r="N34" s="26"/>
      <c r="O34" s="21">
        <v>499.12799999999999</v>
      </c>
      <c r="P34" s="5" t="s">
        <v>15</v>
      </c>
      <c r="Q34" s="21" t="s">
        <v>16</v>
      </c>
      <c r="R34" s="23">
        <f t="shared" si="11"/>
        <v>849</v>
      </c>
      <c r="S34" s="23">
        <v>-15</v>
      </c>
      <c r="T34" s="23"/>
      <c r="U34" s="23"/>
      <c r="V34" s="23">
        <f>SUM(R34:S34)</f>
        <v>834</v>
      </c>
      <c r="W34" s="23">
        <f>O34*V34</f>
        <v>416272.75199999998</v>
      </c>
      <c r="X34" s="23">
        <f t="shared" si="12"/>
        <v>764.1</v>
      </c>
      <c r="Y34" s="23">
        <v>-15</v>
      </c>
      <c r="Z34" s="23"/>
      <c r="AA34" s="23"/>
      <c r="AB34" s="23">
        <f t="shared" si="13"/>
        <v>749.1</v>
      </c>
      <c r="AC34" s="23">
        <f>AB34*O34</f>
        <v>373896.78480000002</v>
      </c>
      <c r="AD34" s="23">
        <f t="shared" si="14"/>
        <v>42375.967199999955</v>
      </c>
      <c r="AE34" s="3"/>
      <c r="AF34" s="3"/>
      <c r="AG34" s="14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32" x14ac:dyDescent="0.2">
      <c r="A35" s="3" t="s">
        <v>48</v>
      </c>
      <c r="B35" s="3" t="s">
        <v>49</v>
      </c>
      <c r="C35" s="3"/>
      <c r="D35" s="3" t="s">
        <v>61</v>
      </c>
      <c r="E35" s="3" t="s">
        <v>12</v>
      </c>
      <c r="F35" s="3" t="s">
        <v>13</v>
      </c>
      <c r="G35" s="3" t="s">
        <v>14</v>
      </c>
      <c r="H35" s="3"/>
      <c r="I35" s="3"/>
      <c r="J35" s="3"/>
      <c r="K35" s="59"/>
      <c r="L35" s="21"/>
      <c r="M35" s="21"/>
      <c r="N35" s="21"/>
      <c r="O35" s="35">
        <v>511.94</v>
      </c>
      <c r="P35" s="5" t="s">
        <v>15</v>
      </c>
      <c r="Q35" s="21" t="s">
        <v>16</v>
      </c>
      <c r="R35" s="23">
        <f t="shared" si="11"/>
        <v>849</v>
      </c>
      <c r="S35" s="23">
        <v>-15</v>
      </c>
      <c r="T35" s="23"/>
      <c r="U35" s="23"/>
      <c r="V35" s="23">
        <f>SUM(R35:S35)</f>
        <v>834</v>
      </c>
      <c r="W35" s="23">
        <f>O35*V35</f>
        <v>426957.96</v>
      </c>
      <c r="X35" s="23">
        <f t="shared" si="12"/>
        <v>764.1</v>
      </c>
      <c r="Y35" s="23">
        <v>-15</v>
      </c>
      <c r="Z35" s="23"/>
      <c r="AA35" s="23"/>
      <c r="AB35" s="23">
        <f t="shared" si="13"/>
        <v>749.1</v>
      </c>
      <c r="AC35" s="23">
        <f>AB35*O35</f>
        <v>383494.25400000002</v>
      </c>
      <c r="AD35" s="23">
        <f t="shared" si="14"/>
        <v>43463.706000000006</v>
      </c>
      <c r="AE35" s="33"/>
      <c r="AF35" s="3"/>
      <c r="AG35" s="14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32" x14ac:dyDescent="0.2">
      <c r="A36" s="3" t="s">
        <v>48</v>
      </c>
      <c r="B36" s="3" t="s">
        <v>49</v>
      </c>
      <c r="C36" s="3"/>
      <c r="D36" s="3" t="s">
        <v>62</v>
      </c>
      <c r="E36" s="3" t="s">
        <v>12</v>
      </c>
      <c r="F36" s="3" t="s">
        <v>13</v>
      </c>
      <c r="G36" s="3" t="s">
        <v>14</v>
      </c>
      <c r="H36" s="3"/>
      <c r="I36" s="3"/>
      <c r="J36" s="3"/>
      <c r="K36" s="59"/>
      <c r="L36" s="21"/>
      <c r="M36" s="21"/>
      <c r="N36" s="21"/>
      <c r="O36" s="21">
        <v>509.971</v>
      </c>
      <c r="P36" s="5" t="s">
        <v>15</v>
      </c>
      <c r="Q36" s="21" t="s">
        <v>16</v>
      </c>
      <c r="R36" s="23">
        <f t="shared" si="11"/>
        <v>849</v>
      </c>
      <c r="S36" s="23">
        <v>-15</v>
      </c>
      <c r="T36" s="23"/>
      <c r="U36" s="23"/>
      <c r="V36" s="23">
        <f>SUM(R36:S36)</f>
        <v>834</v>
      </c>
      <c r="W36" s="23">
        <f>O36*V36</f>
        <v>425315.81400000001</v>
      </c>
      <c r="X36" s="23">
        <f t="shared" si="12"/>
        <v>764.1</v>
      </c>
      <c r="Y36" s="23">
        <v>-15</v>
      </c>
      <c r="Z36" s="23"/>
      <c r="AA36" s="23"/>
      <c r="AB36" s="23">
        <f t="shared" si="13"/>
        <v>749.1</v>
      </c>
      <c r="AC36" s="23">
        <f>AB36*O36</f>
        <v>382019.27610000002</v>
      </c>
      <c r="AD36" s="23">
        <f t="shared" si="14"/>
        <v>43296.537899999996</v>
      </c>
      <c r="AE36" s="33"/>
      <c r="AF36" s="3"/>
      <c r="AG36" s="14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32" x14ac:dyDescent="0.2">
      <c r="A37" s="3" t="s">
        <v>48</v>
      </c>
      <c r="B37" s="3" t="s">
        <v>49</v>
      </c>
      <c r="C37" s="3"/>
      <c r="D37" s="3" t="s">
        <v>69</v>
      </c>
      <c r="E37" s="3" t="s">
        <v>12</v>
      </c>
      <c r="F37" s="3" t="s">
        <v>13</v>
      </c>
      <c r="G37" s="3" t="s">
        <v>14</v>
      </c>
      <c r="H37" s="3"/>
      <c r="I37" s="3"/>
      <c r="J37" s="3"/>
      <c r="K37" s="59"/>
      <c r="L37" s="27"/>
      <c r="M37" s="27"/>
      <c r="N37" s="27"/>
      <c r="O37" s="27">
        <v>511.42</v>
      </c>
      <c r="P37" s="20" t="s">
        <v>15</v>
      </c>
      <c r="Q37" s="27" t="s">
        <v>16</v>
      </c>
      <c r="R37" s="28">
        <f t="shared" si="11"/>
        <v>849</v>
      </c>
      <c r="S37" s="28">
        <v>-15</v>
      </c>
      <c r="T37" s="28"/>
      <c r="U37" s="28"/>
      <c r="V37" s="28">
        <f>SUM(R37:S37)</f>
        <v>834</v>
      </c>
      <c r="W37" s="28">
        <f>O37*V37</f>
        <v>426524.28</v>
      </c>
      <c r="X37" s="28">
        <f t="shared" si="12"/>
        <v>764.1</v>
      </c>
      <c r="Y37" s="28">
        <v>-15</v>
      </c>
      <c r="Z37" s="28"/>
      <c r="AA37" s="28"/>
      <c r="AB37" s="28">
        <f t="shared" si="13"/>
        <v>749.1</v>
      </c>
      <c r="AC37" s="28">
        <f>AB37*O37</f>
        <v>383104.72200000001</v>
      </c>
      <c r="AD37" s="28">
        <f t="shared" si="14"/>
        <v>43419.558000000019</v>
      </c>
      <c r="AE37" s="33"/>
      <c r="AF37" s="3"/>
      <c r="AG37" s="14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s="6" customFormat="1" ht="20" x14ac:dyDescent="0.25">
      <c r="C38" s="7"/>
      <c r="D38" s="7"/>
      <c r="E38" s="7"/>
      <c r="F38" s="7"/>
      <c r="G38" s="7"/>
      <c r="H38" s="7"/>
      <c r="I38" s="7"/>
      <c r="J38" s="7"/>
      <c r="K38" s="7"/>
      <c r="L38" s="24" t="s">
        <v>17</v>
      </c>
      <c r="M38" s="24"/>
      <c r="N38" s="24"/>
      <c r="O38" s="24">
        <f>+SUM(O32:O37)</f>
        <v>3030.5590000000002</v>
      </c>
      <c r="P38" s="8"/>
      <c r="Q38" s="24"/>
      <c r="R38" s="24"/>
      <c r="S38" s="24"/>
      <c r="T38" s="24"/>
      <c r="U38" s="24"/>
      <c r="V38" s="24"/>
      <c r="W38" s="25">
        <f>+SUM(W32:W37)</f>
        <v>2527486.2060000002</v>
      </c>
      <c r="X38" s="24"/>
      <c r="Y38" s="24"/>
      <c r="Z38" s="24"/>
      <c r="AA38" s="24"/>
      <c r="AB38" s="24"/>
      <c r="AC38" s="25">
        <f t="shared" ref="AC38" si="15">+SUM(AC32:AC37)</f>
        <v>2270191.7469000001</v>
      </c>
      <c r="AD38" s="25">
        <f>+SUM(AD32:AD37)</f>
        <v>257294.45909999992</v>
      </c>
      <c r="AE38" s="34"/>
      <c r="AG38" s="14"/>
    </row>
    <row r="39" spans="1:44" ht="32" x14ac:dyDescent="0.2">
      <c r="A39" s="3" t="s">
        <v>50</v>
      </c>
      <c r="B39" s="3" t="s">
        <v>51</v>
      </c>
      <c r="C39" s="3"/>
      <c r="D39" s="3" t="s">
        <v>70</v>
      </c>
      <c r="E39" s="3" t="s">
        <v>12</v>
      </c>
      <c r="F39" s="3" t="s">
        <v>13</v>
      </c>
      <c r="G39" s="3" t="s">
        <v>14</v>
      </c>
      <c r="H39" s="3"/>
      <c r="I39" s="3"/>
      <c r="J39" s="3"/>
      <c r="K39" s="59">
        <v>1495</v>
      </c>
      <c r="L39" s="27"/>
      <c r="M39" s="27"/>
      <c r="N39" s="27"/>
      <c r="O39" s="27">
        <v>509.86</v>
      </c>
      <c r="P39" s="20" t="s">
        <v>15</v>
      </c>
      <c r="Q39" s="27" t="s">
        <v>16</v>
      </c>
      <c r="R39" s="28">
        <f>$K$39*0.6</f>
        <v>897</v>
      </c>
      <c r="S39" s="28">
        <v>-15</v>
      </c>
      <c r="T39" s="28"/>
      <c r="U39" s="28"/>
      <c r="V39" s="28">
        <f>SUM(R39:T39)</f>
        <v>882</v>
      </c>
      <c r="W39" s="28">
        <f>O39*V39</f>
        <v>449696.52</v>
      </c>
      <c r="X39" s="28">
        <f>($K$39*0.54)</f>
        <v>807.30000000000007</v>
      </c>
      <c r="Y39" s="28">
        <v>-15</v>
      </c>
      <c r="Z39" s="28"/>
      <c r="AA39" s="28"/>
      <c r="AB39" s="28">
        <f>SUM(X39:Z39)</f>
        <v>792.30000000000007</v>
      </c>
      <c r="AC39" s="28">
        <f>AB39*O39</f>
        <v>403962.07800000004</v>
      </c>
      <c r="AD39" s="28">
        <f t="shared" ref="AD39:AD45" si="16">+W39-AC39</f>
        <v>45734.441999999981</v>
      </c>
      <c r="AE39" s="33"/>
      <c r="AF39" s="3"/>
      <c r="AG39" s="14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32" x14ac:dyDescent="0.2">
      <c r="A40" s="3" t="s">
        <v>50</v>
      </c>
      <c r="B40" s="3" t="s">
        <v>51</v>
      </c>
      <c r="C40" s="3"/>
      <c r="D40" s="3" t="s">
        <v>71</v>
      </c>
      <c r="E40" s="3" t="s">
        <v>12</v>
      </c>
      <c r="F40" s="3" t="s">
        <v>13</v>
      </c>
      <c r="G40" s="3" t="s">
        <v>14</v>
      </c>
      <c r="H40" s="3"/>
      <c r="I40" s="3"/>
      <c r="J40" s="3"/>
      <c r="K40" s="59"/>
      <c r="L40" s="27"/>
      <c r="M40" s="27"/>
      <c r="N40" s="27"/>
      <c r="O40" s="27">
        <v>509.86</v>
      </c>
      <c r="P40" s="20" t="s">
        <v>15</v>
      </c>
      <c r="Q40" s="27" t="s">
        <v>16</v>
      </c>
      <c r="R40" s="28">
        <f t="shared" ref="R40:R45" si="17">$K$39*0.6</f>
        <v>897</v>
      </c>
      <c r="S40" s="28">
        <v>-15</v>
      </c>
      <c r="T40" s="28">
        <v>-15</v>
      </c>
      <c r="U40" s="28"/>
      <c r="V40" s="28">
        <f>SUM(R40:T40)</f>
        <v>867</v>
      </c>
      <c r="W40" s="28">
        <f>O40*V40</f>
        <v>442048.62</v>
      </c>
      <c r="X40" s="28">
        <f>($K$39*0.54)</f>
        <v>807.30000000000007</v>
      </c>
      <c r="Y40" s="28">
        <v>-15</v>
      </c>
      <c r="Z40" s="28">
        <v>-20</v>
      </c>
      <c r="AA40" s="28"/>
      <c r="AB40" s="28">
        <f t="shared" ref="AB40:AB45" si="18">SUM(X40:Z40)</f>
        <v>772.30000000000007</v>
      </c>
      <c r="AC40" s="28">
        <f>AB40*O40</f>
        <v>393764.87800000003</v>
      </c>
      <c r="AD40" s="28">
        <f t="shared" si="16"/>
        <v>48283.741999999969</v>
      </c>
      <c r="AE40" s="33"/>
      <c r="AF40" s="3"/>
      <c r="AG40" s="14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32" x14ac:dyDescent="0.2">
      <c r="A41" s="3" t="s">
        <v>50</v>
      </c>
      <c r="B41" s="3" t="s">
        <v>51</v>
      </c>
      <c r="C41" s="3"/>
      <c r="D41" s="3" t="s">
        <v>72</v>
      </c>
      <c r="E41" s="3" t="s">
        <v>12</v>
      </c>
      <c r="F41" s="3" t="s">
        <v>13</v>
      </c>
      <c r="G41" s="3" t="s">
        <v>14</v>
      </c>
      <c r="H41" s="3"/>
      <c r="I41" s="3"/>
      <c r="J41" s="3"/>
      <c r="K41" s="59"/>
      <c r="L41" s="27"/>
      <c r="M41" s="27"/>
      <c r="N41" s="27"/>
      <c r="O41" s="27">
        <v>511.42</v>
      </c>
      <c r="P41" s="20" t="s">
        <v>15</v>
      </c>
      <c r="Q41" s="27" t="s">
        <v>16</v>
      </c>
      <c r="R41" s="28">
        <f t="shared" si="17"/>
        <v>897</v>
      </c>
      <c r="S41" s="28">
        <v>-15</v>
      </c>
      <c r="T41" s="28">
        <v>-15</v>
      </c>
      <c r="U41" s="28"/>
      <c r="V41" s="28">
        <f>SUM(R41:T41)</f>
        <v>867</v>
      </c>
      <c r="W41" s="28">
        <f>O41*V41</f>
        <v>443401.14</v>
      </c>
      <c r="X41" s="28">
        <f>($K$39*0.54)</f>
        <v>807.30000000000007</v>
      </c>
      <c r="Y41" s="28">
        <v>-15</v>
      </c>
      <c r="Z41" s="28">
        <v>-20</v>
      </c>
      <c r="AA41" s="28"/>
      <c r="AB41" s="28">
        <f t="shared" si="18"/>
        <v>772.30000000000007</v>
      </c>
      <c r="AC41" s="28">
        <f>AB41*O41</f>
        <v>394969.66600000003</v>
      </c>
      <c r="AD41" s="28">
        <f t="shared" si="16"/>
        <v>48431.473999999987</v>
      </c>
      <c r="AE41" s="33"/>
      <c r="AF41" s="3"/>
      <c r="AG41" s="14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32" x14ac:dyDescent="0.2">
      <c r="A42" s="3" t="s">
        <v>50</v>
      </c>
      <c r="B42" s="3" t="s">
        <v>51</v>
      </c>
      <c r="C42" s="3"/>
      <c r="D42" s="3" t="s">
        <v>73</v>
      </c>
      <c r="E42" s="3" t="s">
        <v>12</v>
      </c>
      <c r="F42" s="3" t="s">
        <v>13</v>
      </c>
      <c r="G42" s="3" t="s">
        <v>14</v>
      </c>
      <c r="H42" s="3"/>
      <c r="I42" s="3"/>
      <c r="J42" s="3"/>
      <c r="K42" s="59"/>
      <c r="L42" s="27"/>
      <c r="M42" s="27"/>
      <c r="N42" s="27"/>
      <c r="O42" s="27">
        <v>381.03</v>
      </c>
      <c r="P42" s="20" t="s">
        <v>15</v>
      </c>
      <c r="Q42" s="27" t="s">
        <v>16</v>
      </c>
      <c r="R42" s="28">
        <f t="shared" si="17"/>
        <v>897</v>
      </c>
      <c r="S42" s="28">
        <v>-15</v>
      </c>
      <c r="T42" s="28"/>
      <c r="U42" s="28"/>
      <c r="V42" s="28">
        <f>SUM(R42:T42)</f>
        <v>882</v>
      </c>
      <c r="W42" s="28">
        <f>O42*V42</f>
        <v>336068.45999999996</v>
      </c>
      <c r="X42" s="28">
        <f t="shared" ref="X42:X45" si="19">($K$39*0.54)</f>
        <v>807.30000000000007</v>
      </c>
      <c r="Y42" s="28">
        <v>-15</v>
      </c>
      <c r="Z42" s="28"/>
      <c r="AA42" s="28"/>
      <c r="AB42" s="28">
        <f t="shared" si="18"/>
        <v>792.30000000000007</v>
      </c>
      <c r="AC42" s="28">
        <f>AB42*O42</f>
        <v>301890.06900000002</v>
      </c>
      <c r="AD42" s="28">
        <f t="shared" si="16"/>
        <v>34178.390999999945</v>
      </c>
      <c r="AE42" s="33"/>
      <c r="AF42" s="3"/>
      <c r="AG42" s="14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32" x14ac:dyDescent="0.2">
      <c r="A43" s="3" t="s">
        <v>50</v>
      </c>
      <c r="B43" s="3" t="s">
        <v>51</v>
      </c>
      <c r="C43" s="3"/>
      <c r="D43" s="3" t="s">
        <v>41</v>
      </c>
      <c r="E43" s="3" t="s">
        <v>12</v>
      </c>
      <c r="F43" s="3" t="s">
        <v>13</v>
      </c>
      <c r="G43" s="3" t="s">
        <v>14</v>
      </c>
      <c r="H43" s="3"/>
      <c r="I43" s="3"/>
      <c r="J43" s="3"/>
      <c r="K43" s="59"/>
      <c r="L43" s="29"/>
      <c r="M43" s="29"/>
      <c r="N43" s="29"/>
      <c r="O43" s="29">
        <v>500</v>
      </c>
      <c r="P43" s="30" t="s">
        <v>15</v>
      </c>
      <c r="Q43" s="29" t="s">
        <v>16</v>
      </c>
      <c r="R43" s="31">
        <f t="shared" si="17"/>
        <v>897</v>
      </c>
      <c r="S43" s="31">
        <v>-15</v>
      </c>
      <c r="T43" s="31"/>
      <c r="U43" s="31"/>
      <c r="V43" s="31">
        <f>SUM(R43:T43)</f>
        <v>882</v>
      </c>
      <c r="W43" s="31">
        <f>O43*V43</f>
        <v>441000</v>
      </c>
      <c r="X43" s="31">
        <f t="shared" si="19"/>
        <v>807.30000000000007</v>
      </c>
      <c r="Y43" s="31">
        <v>-15</v>
      </c>
      <c r="Z43" s="31"/>
      <c r="AA43" s="31"/>
      <c r="AB43" s="31">
        <f t="shared" si="18"/>
        <v>792.30000000000007</v>
      </c>
      <c r="AC43" s="31">
        <f>AB43*O43</f>
        <v>396150.00000000006</v>
      </c>
      <c r="AD43" s="31">
        <f t="shared" si="16"/>
        <v>44849.999999999942</v>
      </c>
      <c r="AE43" s="33"/>
      <c r="AF43" s="3"/>
      <c r="AG43" s="14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32" x14ac:dyDescent="0.2">
      <c r="A44" s="3" t="s">
        <v>50</v>
      </c>
      <c r="B44" s="3" t="s">
        <v>51</v>
      </c>
      <c r="C44" s="3"/>
      <c r="D44" s="3" t="s">
        <v>41</v>
      </c>
      <c r="E44" s="3" t="s">
        <v>12</v>
      </c>
      <c r="F44" s="3" t="s">
        <v>13</v>
      </c>
      <c r="G44" s="3" t="s">
        <v>14</v>
      </c>
      <c r="H44" s="3"/>
      <c r="I44" s="3"/>
      <c r="J44" s="3"/>
      <c r="K44" s="59"/>
      <c r="L44" s="29"/>
      <c r="M44" s="29"/>
      <c r="N44" s="29"/>
      <c r="O44" s="29">
        <v>125</v>
      </c>
      <c r="P44" s="30" t="s">
        <v>15</v>
      </c>
      <c r="Q44" s="29" t="s">
        <v>16</v>
      </c>
      <c r="R44" s="31">
        <v>897</v>
      </c>
      <c r="S44" s="31">
        <v>-15</v>
      </c>
      <c r="T44" s="31"/>
      <c r="U44" s="31"/>
      <c r="V44" s="31">
        <f>SUM(R44:T44)</f>
        <v>882</v>
      </c>
      <c r="W44" s="31">
        <f>O44*V44</f>
        <v>110250</v>
      </c>
      <c r="X44" s="31">
        <v>807</v>
      </c>
      <c r="Y44" s="31">
        <v>-15</v>
      </c>
      <c r="Z44" s="31"/>
      <c r="AA44" s="31"/>
      <c r="AB44" s="31">
        <v>792.3</v>
      </c>
      <c r="AC44" s="31">
        <f>AB44*O44</f>
        <v>99037.5</v>
      </c>
      <c r="AD44" s="31">
        <f t="shared" si="16"/>
        <v>11212.5</v>
      </c>
      <c r="AE44" s="33"/>
      <c r="AF44" s="3"/>
      <c r="AG44" s="14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32" x14ac:dyDescent="0.2">
      <c r="A45" s="3" t="s">
        <v>50</v>
      </c>
      <c r="B45" s="3" t="s">
        <v>51</v>
      </c>
      <c r="C45" s="3"/>
      <c r="D45" s="3" t="s">
        <v>41</v>
      </c>
      <c r="E45" s="3" t="s">
        <v>12</v>
      </c>
      <c r="F45" s="3" t="s">
        <v>13</v>
      </c>
      <c r="G45" s="3" t="s">
        <v>14</v>
      </c>
      <c r="H45" s="3"/>
      <c r="I45" s="3"/>
      <c r="J45" s="3"/>
      <c r="K45" s="59"/>
      <c r="L45" s="29"/>
      <c r="M45" s="29"/>
      <c r="N45" s="29"/>
      <c r="O45" s="29">
        <v>500</v>
      </c>
      <c r="P45" s="30" t="s">
        <v>15</v>
      </c>
      <c r="Q45" s="29" t="s">
        <v>16</v>
      </c>
      <c r="R45" s="31">
        <f t="shared" si="17"/>
        <v>897</v>
      </c>
      <c r="S45" s="31">
        <v>-15</v>
      </c>
      <c r="T45" s="31"/>
      <c r="U45" s="31"/>
      <c r="V45" s="31">
        <f>SUM(R45:T45)</f>
        <v>882</v>
      </c>
      <c r="W45" s="31">
        <f>O45*V45</f>
        <v>441000</v>
      </c>
      <c r="X45" s="31">
        <f t="shared" si="19"/>
        <v>807.30000000000007</v>
      </c>
      <c r="Y45" s="31">
        <v>-15</v>
      </c>
      <c r="Z45" s="31"/>
      <c r="AA45" s="31"/>
      <c r="AB45" s="31">
        <f t="shared" si="18"/>
        <v>792.30000000000007</v>
      </c>
      <c r="AC45" s="31">
        <f>AB45*O45</f>
        <v>396150.00000000006</v>
      </c>
      <c r="AD45" s="31">
        <f t="shared" si="16"/>
        <v>44849.999999999942</v>
      </c>
      <c r="AE45" s="33"/>
      <c r="AF45" s="3"/>
      <c r="AG45" s="14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s="6" customFormat="1" ht="20" x14ac:dyDescent="0.25">
      <c r="C46" s="7"/>
      <c r="D46" s="7"/>
      <c r="E46" s="7"/>
      <c r="F46" s="7"/>
      <c r="G46" s="7"/>
      <c r="H46" s="7"/>
      <c r="I46" s="7"/>
      <c r="J46" s="7"/>
      <c r="K46" s="7"/>
      <c r="L46" s="24" t="s">
        <v>17</v>
      </c>
      <c r="M46" s="24"/>
      <c r="N46" s="24"/>
      <c r="O46" s="24">
        <f>+SUM(O39:O45)</f>
        <v>3037.17</v>
      </c>
      <c r="P46" s="8"/>
      <c r="Q46" s="24"/>
      <c r="R46" s="24"/>
      <c r="S46" s="24"/>
      <c r="T46" s="24"/>
      <c r="U46" s="24"/>
      <c r="V46" s="24"/>
      <c r="W46" s="25">
        <f>+SUM(W39:W45)</f>
        <v>2663464.7400000002</v>
      </c>
      <c r="X46" s="24"/>
      <c r="Y46" s="24"/>
      <c r="Z46" s="24"/>
      <c r="AA46" s="24"/>
      <c r="AB46" s="24"/>
      <c r="AC46" s="25">
        <f t="shared" ref="AC46" si="20">+SUM(AC39:AC45)</f>
        <v>2385924.1910000001</v>
      </c>
      <c r="AD46" s="25">
        <f>+SUM(AD39:AD45)</f>
        <v>277540.54899999977</v>
      </c>
    </row>
    <row r="47" spans="1:44" ht="42" hidden="1" customHeight="1" x14ac:dyDescent="0.2">
      <c r="A47" s="3" t="s">
        <v>66</v>
      </c>
      <c r="B47" s="3" t="s">
        <v>67</v>
      </c>
      <c r="C47" s="3"/>
      <c r="D47" s="3" t="s">
        <v>41</v>
      </c>
      <c r="E47" s="3" t="s">
        <v>12</v>
      </c>
      <c r="F47" s="3" t="s">
        <v>13</v>
      </c>
      <c r="G47" s="3" t="s">
        <v>14</v>
      </c>
      <c r="H47" s="3"/>
      <c r="I47" s="3"/>
      <c r="J47" s="3"/>
      <c r="K47" s="59">
        <v>1495</v>
      </c>
      <c r="L47" s="29"/>
      <c r="M47" s="29"/>
      <c r="N47" s="29"/>
      <c r="O47" s="29">
        <v>500</v>
      </c>
      <c r="P47" s="30" t="s">
        <v>15</v>
      </c>
      <c r="Q47" s="29" t="s">
        <v>16</v>
      </c>
      <c r="R47" s="31">
        <f>$K$39*0.6</f>
        <v>897</v>
      </c>
      <c r="S47" s="31"/>
      <c r="T47" s="31"/>
      <c r="U47" s="31"/>
      <c r="V47" s="31">
        <f>SUM(R47:T47)</f>
        <v>897</v>
      </c>
      <c r="W47" s="31">
        <f>O47*V47</f>
        <v>448500</v>
      </c>
      <c r="X47" s="31">
        <f>($K$39*0.54)</f>
        <v>807.30000000000007</v>
      </c>
      <c r="Y47" s="31"/>
      <c r="Z47" s="31"/>
      <c r="AA47" s="31"/>
      <c r="AB47" s="31">
        <f>SUM(X47:Z47)</f>
        <v>807.30000000000007</v>
      </c>
      <c r="AC47" s="31">
        <f>AB47*O47</f>
        <v>403650.00000000006</v>
      </c>
      <c r="AD47" s="31">
        <f t="shared" ref="AD47:AD52" si="21">+W47-AC47</f>
        <v>44849.999999999942</v>
      </c>
      <c r="AE47" s="3" t="s">
        <v>68</v>
      </c>
      <c r="AF47" s="3"/>
      <c r="AG47" s="14">
        <f>SUM(AG42:AG45,AD35:AD37,AD46)</f>
        <v>407720.35089999979</v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32" hidden="1" x14ac:dyDescent="0.2">
      <c r="A48" s="3" t="s">
        <v>66</v>
      </c>
      <c r="B48" s="3" t="s">
        <v>67</v>
      </c>
      <c r="C48" s="3"/>
      <c r="D48" s="3" t="s">
        <v>41</v>
      </c>
      <c r="E48" s="3" t="s">
        <v>12</v>
      </c>
      <c r="F48" s="3" t="s">
        <v>13</v>
      </c>
      <c r="G48" s="3" t="s">
        <v>14</v>
      </c>
      <c r="H48" s="3"/>
      <c r="I48" s="3"/>
      <c r="J48" s="3"/>
      <c r="K48" s="59"/>
      <c r="L48" s="29"/>
      <c r="M48" s="29"/>
      <c r="N48" s="29"/>
      <c r="O48" s="29">
        <v>500</v>
      </c>
      <c r="P48" s="30" t="s">
        <v>15</v>
      </c>
      <c r="Q48" s="29" t="s">
        <v>16</v>
      </c>
      <c r="R48" s="31">
        <f t="shared" ref="R48:R52" si="22">$K$39*0.6</f>
        <v>897</v>
      </c>
      <c r="S48" s="31"/>
      <c r="T48" s="31"/>
      <c r="U48" s="31"/>
      <c r="V48" s="31">
        <f>SUM(R48:T48)</f>
        <v>897</v>
      </c>
      <c r="W48" s="31">
        <f>O48*V48</f>
        <v>448500</v>
      </c>
      <c r="X48" s="31">
        <f>($K$39*0.54)</f>
        <v>807.30000000000007</v>
      </c>
      <c r="Y48" s="31"/>
      <c r="Z48" s="31"/>
      <c r="AA48" s="31"/>
      <c r="AB48" s="31">
        <f t="shared" ref="AB48:AB52" si="23">SUM(X48:Z48)</f>
        <v>807.30000000000007</v>
      </c>
      <c r="AC48" s="31">
        <f>AB48*O48</f>
        <v>403650.00000000006</v>
      </c>
      <c r="AD48" s="31">
        <f t="shared" si="21"/>
        <v>44849.999999999942</v>
      </c>
      <c r="AE48" s="3" t="s">
        <v>68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32" hidden="1" x14ac:dyDescent="0.2">
      <c r="A49" s="3" t="s">
        <v>66</v>
      </c>
      <c r="B49" s="3" t="s">
        <v>67</v>
      </c>
      <c r="C49" s="3"/>
      <c r="D49" s="3" t="s">
        <v>41</v>
      </c>
      <c r="E49" s="3" t="s">
        <v>12</v>
      </c>
      <c r="F49" s="3" t="s">
        <v>13</v>
      </c>
      <c r="G49" s="3" t="s">
        <v>14</v>
      </c>
      <c r="H49" s="3"/>
      <c r="I49" s="3"/>
      <c r="J49" s="3"/>
      <c r="K49" s="59"/>
      <c r="L49" s="29"/>
      <c r="M49" s="29"/>
      <c r="N49" s="29"/>
      <c r="O49" s="29">
        <v>500</v>
      </c>
      <c r="P49" s="30" t="s">
        <v>15</v>
      </c>
      <c r="Q49" s="29" t="s">
        <v>16</v>
      </c>
      <c r="R49" s="31">
        <f t="shared" si="22"/>
        <v>897</v>
      </c>
      <c r="S49" s="31"/>
      <c r="T49" s="31"/>
      <c r="U49" s="31"/>
      <c r="V49" s="31">
        <f>SUM(R49:T49)</f>
        <v>897</v>
      </c>
      <c r="W49" s="31">
        <f>O49*V49</f>
        <v>448500</v>
      </c>
      <c r="X49" s="31">
        <f>($K$39*0.54)</f>
        <v>807.30000000000007</v>
      </c>
      <c r="Y49" s="31"/>
      <c r="Z49" s="31"/>
      <c r="AA49" s="31"/>
      <c r="AB49" s="31">
        <f t="shared" si="23"/>
        <v>807.30000000000007</v>
      </c>
      <c r="AC49" s="31">
        <f>AB49*O49</f>
        <v>403650.00000000006</v>
      </c>
      <c r="AD49" s="31">
        <f t="shared" si="21"/>
        <v>44849.999999999942</v>
      </c>
      <c r="AE49" s="3" t="s">
        <v>68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32" hidden="1" x14ac:dyDescent="0.2">
      <c r="A50" s="3" t="s">
        <v>66</v>
      </c>
      <c r="B50" s="3" t="s">
        <v>67</v>
      </c>
      <c r="C50" s="3"/>
      <c r="D50" s="3" t="s">
        <v>41</v>
      </c>
      <c r="E50" s="3" t="s">
        <v>12</v>
      </c>
      <c r="F50" s="3" t="s">
        <v>13</v>
      </c>
      <c r="G50" s="3" t="s">
        <v>14</v>
      </c>
      <c r="H50" s="3"/>
      <c r="I50" s="3"/>
      <c r="J50" s="3"/>
      <c r="K50" s="59"/>
      <c r="L50" s="29"/>
      <c r="M50" s="29"/>
      <c r="N50" s="29"/>
      <c r="O50" s="29">
        <v>500</v>
      </c>
      <c r="P50" s="30" t="s">
        <v>15</v>
      </c>
      <c r="Q50" s="29" t="s">
        <v>16</v>
      </c>
      <c r="R50" s="31">
        <f t="shared" si="22"/>
        <v>897</v>
      </c>
      <c r="S50" s="31"/>
      <c r="T50" s="31"/>
      <c r="U50" s="31"/>
      <c r="V50" s="31">
        <f>SUM(R50:T50)</f>
        <v>897</v>
      </c>
      <c r="W50" s="31">
        <f>O50*V50</f>
        <v>448500</v>
      </c>
      <c r="X50" s="31">
        <f t="shared" ref="X50:X52" si="24">($K$39*0.54)</f>
        <v>807.30000000000007</v>
      </c>
      <c r="Y50" s="31"/>
      <c r="Z50" s="31"/>
      <c r="AA50" s="31"/>
      <c r="AB50" s="31">
        <f t="shared" si="23"/>
        <v>807.30000000000007</v>
      </c>
      <c r="AC50" s="31">
        <f>AB50*O50</f>
        <v>403650.00000000006</v>
      </c>
      <c r="AD50" s="31">
        <f t="shared" si="21"/>
        <v>44849.999999999942</v>
      </c>
      <c r="AE50" s="3" t="s">
        <v>68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32" hidden="1" x14ac:dyDescent="0.2">
      <c r="A51" s="3" t="s">
        <v>66</v>
      </c>
      <c r="B51" s="3" t="s">
        <v>67</v>
      </c>
      <c r="C51" s="3"/>
      <c r="D51" s="3" t="s">
        <v>41</v>
      </c>
      <c r="E51" s="3" t="s">
        <v>12</v>
      </c>
      <c r="F51" s="3" t="s">
        <v>13</v>
      </c>
      <c r="G51" s="3" t="s">
        <v>14</v>
      </c>
      <c r="H51" s="3"/>
      <c r="I51" s="3"/>
      <c r="J51" s="3"/>
      <c r="K51" s="59"/>
      <c r="L51" s="29"/>
      <c r="M51" s="29"/>
      <c r="N51" s="29"/>
      <c r="O51" s="29">
        <v>500</v>
      </c>
      <c r="P51" s="30" t="s">
        <v>15</v>
      </c>
      <c r="Q51" s="29" t="s">
        <v>16</v>
      </c>
      <c r="R51" s="31">
        <f t="shared" si="22"/>
        <v>897</v>
      </c>
      <c r="S51" s="31"/>
      <c r="T51" s="31"/>
      <c r="U51" s="31"/>
      <c r="V51" s="31">
        <f>SUM(R51:T51)</f>
        <v>897</v>
      </c>
      <c r="W51" s="31">
        <f>O51*V51</f>
        <v>448500</v>
      </c>
      <c r="X51" s="31">
        <f t="shared" si="24"/>
        <v>807.30000000000007</v>
      </c>
      <c r="Y51" s="31"/>
      <c r="Z51" s="31"/>
      <c r="AA51" s="31"/>
      <c r="AB51" s="31">
        <f t="shared" si="23"/>
        <v>807.30000000000007</v>
      </c>
      <c r="AC51" s="31">
        <f>AB51*O51</f>
        <v>403650.00000000006</v>
      </c>
      <c r="AD51" s="31">
        <f t="shared" si="21"/>
        <v>44849.999999999942</v>
      </c>
      <c r="AE51" s="3" t="s">
        <v>68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32" hidden="1" x14ac:dyDescent="0.2">
      <c r="A52" s="3" t="s">
        <v>66</v>
      </c>
      <c r="B52" s="3" t="s">
        <v>67</v>
      </c>
      <c r="C52" s="3"/>
      <c r="D52" s="3" t="s">
        <v>41</v>
      </c>
      <c r="E52" s="3" t="s">
        <v>12</v>
      </c>
      <c r="F52" s="3" t="s">
        <v>13</v>
      </c>
      <c r="G52" s="3" t="s">
        <v>14</v>
      </c>
      <c r="H52" s="3"/>
      <c r="I52" s="3"/>
      <c r="J52" s="3"/>
      <c r="K52" s="59"/>
      <c r="L52" s="29"/>
      <c r="M52" s="29"/>
      <c r="N52" s="29"/>
      <c r="O52" s="29">
        <v>500</v>
      </c>
      <c r="P52" s="30" t="s">
        <v>15</v>
      </c>
      <c r="Q52" s="29" t="s">
        <v>16</v>
      </c>
      <c r="R52" s="31">
        <f t="shared" si="22"/>
        <v>897</v>
      </c>
      <c r="S52" s="31"/>
      <c r="T52" s="31"/>
      <c r="U52" s="31"/>
      <c r="V52" s="31">
        <f>SUM(R52:T52)</f>
        <v>897</v>
      </c>
      <c r="W52" s="31">
        <f>O52*V52</f>
        <v>448500</v>
      </c>
      <c r="X52" s="31">
        <f t="shared" si="24"/>
        <v>807.30000000000007</v>
      </c>
      <c r="Y52" s="31"/>
      <c r="Z52" s="31"/>
      <c r="AA52" s="31"/>
      <c r="AB52" s="31">
        <f t="shared" si="23"/>
        <v>807.30000000000007</v>
      </c>
      <c r="AC52" s="31">
        <f>AB52*O52</f>
        <v>403650.00000000006</v>
      </c>
      <c r="AD52" s="31">
        <f t="shared" si="21"/>
        <v>44849.999999999942</v>
      </c>
      <c r="AE52" s="3" t="s">
        <v>68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s="6" customFormat="1" ht="20" hidden="1" x14ac:dyDescent="0.25">
      <c r="C53" s="7"/>
      <c r="D53" s="7"/>
      <c r="E53" s="7"/>
      <c r="F53" s="7"/>
      <c r="G53" s="7"/>
      <c r="H53" s="7"/>
      <c r="I53" s="7"/>
      <c r="J53" s="7"/>
      <c r="K53" s="7"/>
      <c r="L53" s="24" t="s">
        <v>17</v>
      </c>
      <c r="M53" s="24"/>
      <c r="N53" s="24"/>
      <c r="O53" s="24">
        <f>+SUM(O47:O52)</f>
        <v>3000</v>
      </c>
      <c r="P53" s="8"/>
      <c r="Q53" s="24"/>
      <c r="R53" s="24"/>
      <c r="S53" s="24"/>
      <c r="T53" s="24"/>
      <c r="U53" s="24"/>
      <c r="V53" s="24"/>
      <c r="W53" s="25">
        <f>+SUM(W47:W52)</f>
        <v>2691000</v>
      </c>
      <c r="X53" s="24"/>
      <c r="Y53" s="24"/>
      <c r="Z53" s="24"/>
      <c r="AA53" s="24"/>
      <c r="AB53" s="24"/>
      <c r="AC53" s="25">
        <f t="shared" ref="AC53" si="25">+SUM(AC47:AC52)</f>
        <v>2421900.0000000005</v>
      </c>
      <c r="AD53" s="25">
        <f>+SUM(AD47:AD52)</f>
        <v>269099.99999999965</v>
      </c>
    </row>
    <row r="54" spans="1:44" ht="1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O54" s="4"/>
      <c r="P54" s="3" t="s">
        <v>63</v>
      </c>
      <c r="Q54" s="18"/>
      <c r="R54" s="17"/>
      <c r="S54" s="17"/>
      <c r="T54" s="17"/>
      <c r="U54" s="17"/>
      <c r="V54" s="17"/>
      <c r="X54" s="3"/>
      <c r="Y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O55" s="32"/>
      <c r="P55" s="3" t="s">
        <v>74</v>
      </c>
      <c r="Q55" s="18"/>
      <c r="R55" s="17"/>
      <c r="S55" s="17"/>
      <c r="T55" s="17"/>
      <c r="U55" s="17"/>
      <c r="V55" s="17"/>
      <c r="X55" s="3"/>
      <c r="Y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O56" s="12"/>
      <c r="P56" t="s">
        <v>64</v>
      </c>
      <c r="Q56" s="16"/>
      <c r="R56" s="17"/>
      <c r="S56" s="17"/>
      <c r="T56" s="17"/>
      <c r="U56" s="17"/>
      <c r="V56" s="17"/>
      <c r="W56" s="17"/>
      <c r="X56" s="3"/>
      <c r="Y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7" thickBo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O57" s="13"/>
      <c r="P57" s="3" t="s">
        <v>65</v>
      </c>
      <c r="Q57" s="15"/>
      <c r="X57" s="3"/>
      <c r="Y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23" thickBot="1" x14ac:dyDescent="0.25">
      <c r="A58" s="3"/>
      <c r="B58" s="3"/>
      <c r="C58" s="3"/>
      <c r="D58" s="3"/>
      <c r="E58" s="3"/>
      <c r="F58" s="3"/>
      <c r="G58" s="3"/>
      <c r="H58" s="39"/>
      <c r="I58" s="39"/>
      <c r="J58" s="39"/>
      <c r="K58" s="39"/>
      <c r="L58" s="117">
        <v>2025</v>
      </c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9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32" x14ac:dyDescent="0.2">
      <c r="A59" s="3"/>
      <c r="B59" s="3" t="s">
        <v>67</v>
      </c>
      <c r="C59" s="3"/>
      <c r="D59" s="3" t="s">
        <v>83</v>
      </c>
      <c r="E59" s="3" t="s">
        <v>12</v>
      </c>
      <c r="F59" s="3" t="s">
        <v>13</v>
      </c>
      <c r="G59" s="3" t="s">
        <v>14</v>
      </c>
      <c r="H59" s="11"/>
      <c r="I59" s="11"/>
      <c r="J59" s="11"/>
      <c r="K59" s="37"/>
      <c r="L59" s="27" t="s">
        <v>377</v>
      </c>
      <c r="M59" s="27" t="s">
        <v>378</v>
      </c>
      <c r="N59" s="27"/>
      <c r="O59" s="27">
        <v>510.76400000000001</v>
      </c>
      <c r="P59" s="20" t="s">
        <v>15</v>
      </c>
      <c r="Q59" s="27" t="s">
        <v>16</v>
      </c>
      <c r="R59" s="28">
        <f>649+30</f>
        <v>679</v>
      </c>
      <c r="S59" s="28">
        <v>0</v>
      </c>
      <c r="T59" s="28">
        <v>0</v>
      </c>
      <c r="U59" s="28"/>
      <c r="V59" s="28">
        <f>SUM(R59:T59)</f>
        <v>679</v>
      </c>
      <c r="W59" s="28">
        <f>O59*V59</f>
        <v>346808.75599999999</v>
      </c>
      <c r="X59" s="28">
        <v>755</v>
      </c>
      <c r="Y59" s="28">
        <v>0</v>
      </c>
      <c r="Z59" s="28">
        <v>0</v>
      </c>
      <c r="AA59" s="28"/>
      <c r="AB59" s="28">
        <f>SUM(X59:Z59)</f>
        <v>755</v>
      </c>
      <c r="AC59" s="28">
        <f>AB59*O59</f>
        <v>385626.82</v>
      </c>
      <c r="AD59" s="28">
        <f>AC59-W59</f>
        <v>38818.064000000013</v>
      </c>
      <c r="AE59" s="38" t="s">
        <v>81</v>
      </c>
      <c r="AF59" s="3"/>
      <c r="AG59" s="14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32" x14ac:dyDescent="0.2">
      <c r="A60" s="3"/>
      <c r="B60" s="3" t="s">
        <v>67</v>
      </c>
      <c r="C60" s="3"/>
      <c r="D60" s="3" t="s">
        <v>84</v>
      </c>
      <c r="E60" s="3" t="s">
        <v>12</v>
      </c>
      <c r="F60" s="3" t="s">
        <v>13</v>
      </c>
      <c r="G60" s="3" t="s">
        <v>14</v>
      </c>
      <c r="H60" s="11"/>
      <c r="I60" s="11"/>
      <c r="J60" s="11"/>
      <c r="K60" s="37"/>
      <c r="L60" s="27" t="s">
        <v>377</v>
      </c>
      <c r="M60" s="27" t="s">
        <v>378</v>
      </c>
      <c r="N60" s="27"/>
      <c r="O60" s="27">
        <v>510.339</v>
      </c>
      <c r="P60" s="20" t="s">
        <v>15</v>
      </c>
      <c r="Q60" s="27" t="s">
        <v>16</v>
      </c>
      <c r="R60" s="28">
        <f>649+30</f>
        <v>679</v>
      </c>
      <c r="S60" s="28">
        <v>0</v>
      </c>
      <c r="T60" s="28">
        <v>0</v>
      </c>
      <c r="U60" s="28"/>
      <c r="V60" s="28">
        <f>SUM(R60:T60)</f>
        <v>679</v>
      </c>
      <c r="W60" s="28">
        <f>O60*V60</f>
        <v>346520.18099999998</v>
      </c>
      <c r="X60" s="28">
        <v>755</v>
      </c>
      <c r="Y60" s="28">
        <v>0</v>
      </c>
      <c r="Z60" s="28">
        <v>0</v>
      </c>
      <c r="AA60" s="28"/>
      <c r="AB60" s="28">
        <f>SUM(X60:Z60)</f>
        <v>755</v>
      </c>
      <c r="AC60" s="28">
        <f>AB60*O60</f>
        <v>385305.94500000001</v>
      </c>
      <c r="AD60" s="28">
        <f>AC60-W60</f>
        <v>38785.764000000025</v>
      </c>
      <c r="AE60" s="33"/>
      <c r="AF60" s="3"/>
      <c r="AG60" s="14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32" x14ac:dyDescent="0.2">
      <c r="A61" s="3"/>
      <c r="B61" s="3" t="s">
        <v>67</v>
      </c>
      <c r="C61" s="3"/>
      <c r="D61" s="3" t="s">
        <v>85</v>
      </c>
      <c r="E61" s="3" t="s">
        <v>12</v>
      </c>
      <c r="F61" s="3" t="s">
        <v>13</v>
      </c>
      <c r="G61" s="3" t="s">
        <v>14</v>
      </c>
      <c r="H61" s="11"/>
      <c r="I61" s="11"/>
      <c r="J61" s="11"/>
      <c r="K61" s="37"/>
      <c r="L61" s="27" t="s">
        <v>377</v>
      </c>
      <c r="M61" s="27" t="s">
        <v>378</v>
      </c>
      <c r="N61" s="27"/>
      <c r="O61" s="27">
        <v>509.68799999999999</v>
      </c>
      <c r="P61" s="20" t="s">
        <v>15</v>
      </c>
      <c r="Q61" s="27" t="s">
        <v>16</v>
      </c>
      <c r="R61" s="28">
        <f t="shared" ref="R61" si="26">649+30</f>
        <v>679</v>
      </c>
      <c r="S61" s="28">
        <v>0</v>
      </c>
      <c r="T61" s="28">
        <v>0</v>
      </c>
      <c r="U61" s="28"/>
      <c r="V61" s="28">
        <f>SUM(R61:T61)</f>
        <v>679</v>
      </c>
      <c r="W61" s="28">
        <f>O61*V61</f>
        <v>346078.152</v>
      </c>
      <c r="X61" s="28">
        <v>755</v>
      </c>
      <c r="Y61" s="28">
        <v>0</v>
      </c>
      <c r="Z61" s="28">
        <v>0</v>
      </c>
      <c r="AA61" s="28"/>
      <c r="AB61" s="28">
        <f t="shared" ref="AB61:AB63" si="27">SUM(X61:Z61)</f>
        <v>755</v>
      </c>
      <c r="AC61" s="28">
        <f>AB61*O61</f>
        <v>384814.44</v>
      </c>
      <c r="AD61" s="28">
        <f t="shared" ref="AD61:AD65" si="28">AC61-W61</f>
        <v>38736.288</v>
      </c>
      <c r="AE61" s="64"/>
      <c r="AF61" s="58"/>
      <c r="AG61" s="58"/>
      <c r="AH61" s="58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32" x14ac:dyDescent="0.2">
      <c r="A62" s="3"/>
      <c r="B62" s="3" t="s">
        <v>67</v>
      </c>
      <c r="C62" s="3"/>
      <c r="D62" s="3" t="s">
        <v>86</v>
      </c>
      <c r="E62" s="3" t="s">
        <v>12</v>
      </c>
      <c r="F62" s="3" t="s">
        <v>13</v>
      </c>
      <c r="G62" s="3" t="s">
        <v>14</v>
      </c>
      <c r="H62" s="11"/>
      <c r="I62" s="11"/>
      <c r="J62" s="11"/>
      <c r="K62" s="37"/>
      <c r="L62" s="27" t="s">
        <v>377</v>
      </c>
      <c r="M62" s="27" t="s">
        <v>378</v>
      </c>
      <c r="N62" s="27"/>
      <c r="O62" s="27">
        <v>510.9</v>
      </c>
      <c r="P62" s="20" t="s">
        <v>15</v>
      </c>
      <c r="Q62" s="27" t="s">
        <v>16</v>
      </c>
      <c r="R62" s="28">
        <v>664</v>
      </c>
      <c r="S62" s="28">
        <v>0</v>
      </c>
      <c r="T62" s="28">
        <v>0</v>
      </c>
      <c r="U62" s="28"/>
      <c r="V62" s="28">
        <v>664</v>
      </c>
      <c r="W62" s="28">
        <f>O62*V62</f>
        <v>339237.6</v>
      </c>
      <c r="X62" s="28">
        <v>755</v>
      </c>
      <c r="Y62" s="28">
        <v>0</v>
      </c>
      <c r="Z62" s="28">
        <v>0</v>
      </c>
      <c r="AA62" s="28"/>
      <c r="AB62" s="28">
        <f t="shared" si="27"/>
        <v>755</v>
      </c>
      <c r="AC62" s="28">
        <f>AB62*O62</f>
        <v>385729.5</v>
      </c>
      <c r="AD62" s="28">
        <f t="shared" si="28"/>
        <v>46491.900000000023</v>
      </c>
      <c r="AE62" s="64"/>
      <c r="AF62" s="14"/>
      <c r="AG62" s="3"/>
      <c r="AH62" s="14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32" x14ac:dyDescent="0.2">
      <c r="A63" s="3"/>
      <c r="B63" s="3" t="s">
        <v>67</v>
      </c>
      <c r="C63" s="3"/>
      <c r="D63" s="3" t="s">
        <v>87</v>
      </c>
      <c r="E63" s="3" t="s">
        <v>12</v>
      </c>
      <c r="F63" s="3" t="s">
        <v>13</v>
      </c>
      <c r="G63" s="3" t="s">
        <v>14</v>
      </c>
      <c r="H63" s="11"/>
      <c r="I63" s="11"/>
      <c r="J63" s="11"/>
      <c r="K63" s="37"/>
      <c r="L63" s="27" t="s">
        <v>377</v>
      </c>
      <c r="M63" s="27" t="s">
        <v>378</v>
      </c>
      <c r="N63" s="27"/>
      <c r="O63" s="27">
        <v>510.9</v>
      </c>
      <c r="P63" s="20" t="s">
        <v>15</v>
      </c>
      <c r="Q63" s="27" t="s">
        <v>16</v>
      </c>
      <c r="R63" s="28">
        <f t="shared" ref="R63:R65" si="29">634+30</f>
        <v>664</v>
      </c>
      <c r="S63" s="28">
        <v>0</v>
      </c>
      <c r="T63" s="28">
        <v>0</v>
      </c>
      <c r="U63" s="28"/>
      <c r="V63" s="28">
        <v>664</v>
      </c>
      <c r="W63" s="28">
        <f>O63*V63</f>
        <v>339237.6</v>
      </c>
      <c r="X63" s="28">
        <v>755</v>
      </c>
      <c r="Y63" s="28">
        <v>0</v>
      </c>
      <c r="Z63" s="28">
        <v>0</v>
      </c>
      <c r="AA63" s="28"/>
      <c r="AB63" s="28">
        <f t="shared" si="27"/>
        <v>755</v>
      </c>
      <c r="AC63" s="28">
        <f>AB63*O63</f>
        <v>385729.5</v>
      </c>
      <c r="AD63" s="28">
        <f t="shared" si="28"/>
        <v>46491.900000000023</v>
      </c>
      <c r="AE63" s="33"/>
      <c r="AF63" s="14"/>
      <c r="AG63" s="3"/>
      <c r="AH63" s="14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32" x14ac:dyDescent="0.2">
      <c r="A64" s="3"/>
      <c r="B64" s="3" t="s">
        <v>67</v>
      </c>
      <c r="C64" s="3"/>
      <c r="D64" s="3" t="s">
        <v>88</v>
      </c>
      <c r="E64" s="3" t="s">
        <v>12</v>
      </c>
      <c r="F64" s="3" t="s">
        <v>13</v>
      </c>
      <c r="G64" s="3" t="s">
        <v>14</v>
      </c>
      <c r="H64" s="11"/>
      <c r="I64" s="11"/>
      <c r="J64" s="11"/>
      <c r="K64" s="37"/>
      <c r="L64" s="27" t="s">
        <v>377</v>
      </c>
      <c r="M64" s="27" t="s">
        <v>378</v>
      </c>
      <c r="N64" s="27"/>
      <c r="O64" s="27">
        <v>510.9</v>
      </c>
      <c r="P64" s="20" t="s">
        <v>15</v>
      </c>
      <c r="Q64" s="27" t="s">
        <v>16</v>
      </c>
      <c r="R64" s="28">
        <f t="shared" si="29"/>
        <v>664</v>
      </c>
      <c r="S64" s="28">
        <v>0</v>
      </c>
      <c r="T64" s="28">
        <v>0</v>
      </c>
      <c r="U64" s="28"/>
      <c r="V64" s="28">
        <v>664</v>
      </c>
      <c r="W64" s="28">
        <f>O64*V64</f>
        <v>339237.6</v>
      </c>
      <c r="X64" s="28">
        <v>755</v>
      </c>
      <c r="Y64" s="28">
        <v>0</v>
      </c>
      <c r="Z64" s="28">
        <v>0</v>
      </c>
      <c r="AA64" s="28"/>
      <c r="AB64" s="28">
        <v>755</v>
      </c>
      <c r="AC64" s="28">
        <f>AB64*O64</f>
        <v>385729.5</v>
      </c>
      <c r="AD64" s="28">
        <f t="shared" si="28"/>
        <v>46491.900000000023</v>
      </c>
      <c r="AE64" s="33"/>
      <c r="AF64" s="14"/>
      <c r="AG64" s="3"/>
      <c r="AH64" s="14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32" x14ac:dyDescent="0.2">
      <c r="A65" s="3"/>
      <c r="B65" s="3" t="s">
        <v>67</v>
      </c>
      <c r="C65" s="3"/>
      <c r="D65" s="3" t="s">
        <v>89</v>
      </c>
      <c r="E65" s="3" t="s">
        <v>12</v>
      </c>
      <c r="F65" s="3" t="s">
        <v>13</v>
      </c>
      <c r="G65" s="3" t="s">
        <v>14</v>
      </c>
      <c r="H65" s="11"/>
      <c r="I65" s="11"/>
      <c r="J65" s="11"/>
      <c r="K65" s="37"/>
      <c r="L65" s="27" t="s">
        <v>377</v>
      </c>
      <c r="M65" s="27" t="s">
        <v>378</v>
      </c>
      <c r="N65" s="27"/>
      <c r="O65" s="27">
        <v>306.54000000000002</v>
      </c>
      <c r="P65" s="20" t="s">
        <v>15</v>
      </c>
      <c r="Q65" s="27" t="s">
        <v>16</v>
      </c>
      <c r="R65" s="28">
        <f t="shared" si="29"/>
        <v>664</v>
      </c>
      <c r="S65" s="28">
        <v>0</v>
      </c>
      <c r="T65" s="28">
        <v>0</v>
      </c>
      <c r="U65" s="28"/>
      <c r="V65" s="28">
        <v>664</v>
      </c>
      <c r="W65" s="28">
        <f>O65*V65</f>
        <v>203542.56000000003</v>
      </c>
      <c r="X65" s="28">
        <v>755</v>
      </c>
      <c r="Y65" s="28">
        <v>0</v>
      </c>
      <c r="Z65" s="28">
        <v>0</v>
      </c>
      <c r="AA65" s="28"/>
      <c r="AB65" s="28">
        <f t="shared" ref="AB65" si="30">SUM(X65:Z65)</f>
        <v>755</v>
      </c>
      <c r="AC65" s="28">
        <f>AB65*O65</f>
        <v>231437.7</v>
      </c>
      <c r="AD65" s="28">
        <f t="shared" si="28"/>
        <v>27895.139999999985</v>
      </c>
      <c r="AE65" s="33"/>
      <c r="AF65" s="14"/>
      <c r="AG65" s="3"/>
      <c r="AH65" s="14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s="6" customFormat="1" ht="20" x14ac:dyDescent="0.25">
      <c r="C66" s="7"/>
      <c r="D66" s="7"/>
      <c r="E66" s="7"/>
      <c r="F66" s="7"/>
      <c r="G66" s="7"/>
      <c r="H66" s="7"/>
      <c r="I66" s="7"/>
      <c r="J66" s="7"/>
      <c r="K66" s="7"/>
      <c r="L66" s="24" t="s">
        <v>17</v>
      </c>
      <c r="M66" s="24"/>
      <c r="N66" s="24"/>
      <c r="O66" s="24">
        <f>+SUM(O59:O65)</f>
        <v>3370.0310000000004</v>
      </c>
      <c r="P66" s="8"/>
      <c r="Q66" s="24"/>
      <c r="R66" s="24"/>
      <c r="S66" s="24"/>
      <c r="T66" s="24"/>
      <c r="U66" s="24"/>
      <c r="V66" s="24"/>
      <c r="W66" s="25">
        <f>+SUM(W59:W65)</f>
        <v>2260662.449</v>
      </c>
      <c r="X66" s="24"/>
      <c r="Y66" s="24"/>
      <c r="Z66" s="24"/>
      <c r="AA66" s="24"/>
      <c r="AB66" s="24"/>
      <c r="AC66" s="25">
        <f>+SUM(AC59:AC65)</f>
        <v>2544373.4050000003</v>
      </c>
      <c r="AD66" s="25">
        <f>+SUM(AD59:AD65)</f>
        <v>283710.95600000012</v>
      </c>
      <c r="AH66" s="48"/>
    </row>
    <row r="67" spans="1:44" ht="32" x14ac:dyDescent="0.2">
      <c r="A67" s="3"/>
      <c r="B67" s="3" t="s">
        <v>76</v>
      </c>
      <c r="C67" s="3"/>
      <c r="D67" s="3" t="s">
        <v>90</v>
      </c>
      <c r="E67" s="3" t="s">
        <v>12</v>
      </c>
      <c r="F67" s="3" t="s">
        <v>13</v>
      </c>
      <c r="G67" s="3" t="s">
        <v>14</v>
      </c>
      <c r="H67" s="40"/>
      <c r="I67" s="40"/>
      <c r="J67" s="40"/>
      <c r="K67" s="37">
        <v>634</v>
      </c>
      <c r="L67" s="27" t="s">
        <v>377</v>
      </c>
      <c r="M67" s="27" t="s">
        <v>378</v>
      </c>
      <c r="N67" s="27"/>
      <c r="O67" s="27">
        <v>511.16</v>
      </c>
      <c r="P67" s="20" t="s">
        <v>15</v>
      </c>
      <c r="Q67" s="27" t="s">
        <v>16</v>
      </c>
      <c r="R67" s="42">
        <f>K67+30</f>
        <v>664</v>
      </c>
      <c r="S67" s="28">
        <v>0</v>
      </c>
      <c r="T67" s="28">
        <v>0</v>
      </c>
      <c r="U67" s="28"/>
      <c r="V67" s="42">
        <v>632</v>
      </c>
      <c r="W67" s="28">
        <f>O67*V67</f>
        <v>323053.12</v>
      </c>
      <c r="X67" s="28">
        <v>705</v>
      </c>
      <c r="Y67" s="28">
        <v>0</v>
      </c>
      <c r="Z67" s="28">
        <v>0</v>
      </c>
      <c r="AA67" s="28"/>
      <c r="AB67" s="28">
        <v>705</v>
      </c>
      <c r="AC67" s="28">
        <f>AB67*O67</f>
        <v>360367.80000000005</v>
      </c>
      <c r="AD67" s="28">
        <f>AC67-W67</f>
        <v>37314.680000000051</v>
      </c>
      <c r="AE67" t="s">
        <v>82</v>
      </c>
    </row>
    <row r="68" spans="1:44" ht="32" x14ac:dyDescent="0.2">
      <c r="A68" s="3"/>
      <c r="B68" s="3" t="s">
        <v>76</v>
      </c>
      <c r="C68" s="3"/>
      <c r="D68" s="3" t="s">
        <v>91</v>
      </c>
      <c r="E68" s="3" t="s">
        <v>12</v>
      </c>
      <c r="F68" s="3" t="s">
        <v>13</v>
      </c>
      <c r="G68" s="3" t="s">
        <v>14</v>
      </c>
      <c r="H68" s="40"/>
      <c r="I68" s="40"/>
      <c r="J68" s="40"/>
      <c r="K68" s="37">
        <v>634</v>
      </c>
      <c r="L68" s="27" t="s">
        <v>377</v>
      </c>
      <c r="M68" s="27" t="s">
        <v>378</v>
      </c>
      <c r="N68" s="27"/>
      <c r="O68" s="27">
        <v>509.19400000000002</v>
      </c>
      <c r="P68" s="20" t="s">
        <v>15</v>
      </c>
      <c r="Q68" s="27" t="s">
        <v>16</v>
      </c>
      <c r="R68" s="42">
        <f>K68+30</f>
        <v>664</v>
      </c>
      <c r="S68" s="28">
        <v>0</v>
      </c>
      <c r="T68" s="28">
        <v>0</v>
      </c>
      <c r="U68" s="28"/>
      <c r="V68" s="42">
        <v>632</v>
      </c>
      <c r="W68" s="28">
        <f>O68*V68</f>
        <v>321810.60800000001</v>
      </c>
      <c r="X68" s="28">
        <v>705</v>
      </c>
      <c r="Y68" s="28">
        <v>0</v>
      </c>
      <c r="Z68" s="28">
        <v>0</v>
      </c>
      <c r="AA68" s="28"/>
      <c r="AB68" s="28">
        <v>705</v>
      </c>
      <c r="AC68" s="28">
        <f>AB68*O68</f>
        <v>358981.77</v>
      </c>
      <c r="AD68" s="28">
        <f>AC68-W68</f>
        <v>37171.162000000011</v>
      </c>
      <c r="AE68" s="17"/>
    </row>
    <row r="69" spans="1:44" ht="32" x14ac:dyDescent="0.2">
      <c r="A69" s="3"/>
      <c r="B69" s="3" t="s">
        <v>76</v>
      </c>
      <c r="C69" s="3"/>
      <c r="D69" s="3" t="s">
        <v>92</v>
      </c>
      <c r="E69" s="3" t="s">
        <v>12</v>
      </c>
      <c r="F69" s="3" t="s">
        <v>13</v>
      </c>
      <c r="G69" s="3" t="s">
        <v>14</v>
      </c>
      <c r="H69" s="40"/>
      <c r="I69" s="40"/>
      <c r="J69" s="40"/>
      <c r="K69" s="37">
        <v>634</v>
      </c>
      <c r="L69" s="27" t="s">
        <v>377</v>
      </c>
      <c r="M69" s="27" t="s">
        <v>378</v>
      </c>
      <c r="N69" s="27"/>
      <c r="O69" s="27">
        <v>485.03300000000002</v>
      </c>
      <c r="P69" s="20" t="s">
        <v>15</v>
      </c>
      <c r="Q69" s="27" t="s">
        <v>16</v>
      </c>
      <c r="R69" s="42">
        <f>K69+30</f>
        <v>664</v>
      </c>
      <c r="S69" s="28">
        <v>0</v>
      </c>
      <c r="T69" s="28">
        <v>0</v>
      </c>
      <c r="U69" s="28"/>
      <c r="V69" s="42">
        <v>632</v>
      </c>
      <c r="W69" s="28">
        <f>O69*V69</f>
        <v>306540.85600000003</v>
      </c>
      <c r="X69" s="28">
        <v>705</v>
      </c>
      <c r="Y69" s="28">
        <v>0</v>
      </c>
      <c r="Z69" s="28">
        <v>0</v>
      </c>
      <c r="AA69" s="28"/>
      <c r="AB69" s="28">
        <v>705</v>
      </c>
      <c r="AC69" s="28">
        <f>AB69*O69</f>
        <v>341948.26500000001</v>
      </c>
      <c r="AD69" s="28">
        <f t="shared" ref="AD69:AD73" si="31">AC69-W69</f>
        <v>35407.408999999985</v>
      </c>
    </row>
    <row r="70" spans="1:44" ht="32" x14ac:dyDescent="0.2">
      <c r="A70" s="3"/>
      <c r="B70" s="3" t="s">
        <v>76</v>
      </c>
      <c r="C70" s="3"/>
      <c r="D70" s="3" t="s">
        <v>93</v>
      </c>
      <c r="E70" s="3" t="s">
        <v>12</v>
      </c>
      <c r="F70" s="3" t="s">
        <v>13</v>
      </c>
      <c r="G70" s="3" t="s">
        <v>14</v>
      </c>
      <c r="H70" s="40"/>
      <c r="I70" s="40"/>
      <c r="J70" s="40"/>
      <c r="K70" s="37">
        <v>634</v>
      </c>
      <c r="L70" s="27" t="s">
        <v>377</v>
      </c>
      <c r="M70" s="27" t="s">
        <v>378</v>
      </c>
      <c r="N70" s="27"/>
      <c r="O70" s="27">
        <v>510.38</v>
      </c>
      <c r="P70" s="20" t="s">
        <v>15</v>
      </c>
      <c r="Q70" s="27" t="s">
        <v>16</v>
      </c>
      <c r="R70" s="42">
        <f>K70+30</f>
        <v>664</v>
      </c>
      <c r="S70" s="28">
        <v>0</v>
      </c>
      <c r="T70" s="28">
        <v>0</v>
      </c>
      <c r="U70" s="28"/>
      <c r="V70" s="42">
        <v>632</v>
      </c>
      <c r="W70" s="28">
        <f>O70*V70</f>
        <v>322560.15999999997</v>
      </c>
      <c r="X70" s="28">
        <v>705</v>
      </c>
      <c r="Y70" s="28">
        <v>0</v>
      </c>
      <c r="Z70" s="28">
        <v>0</v>
      </c>
      <c r="AA70" s="28"/>
      <c r="AB70" s="28">
        <v>705</v>
      </c>
      <c r="AC70" s="28">
        <f>AB70*O70</f>
        <v>359817.9</v>
      </c>
      <c r="AD70" s="28">
        <f t="shared" si="31"/>
        <v>37257.740000000049</v>
      </c>
    </row>
    <row r="71" spans="1:44" ht="32" x14ac:dyDescent="0.2">
      <c r="A71" s="3"/>
      <c r="B71" s="3" t="s">
        <v>76</v>
      </c>
      <c r="C71" s="3"/>
      <c r="D71" s="3" t="s">
        <v>94</v>
      </c>
      <c r="E71" s="3" t="s">
        <v>12</v>
      </c>
      <c r="F71" s="3" t="s">
        <v>13</v>
      </c>
      <c r="G71" s="3" t="s">
        <v>14</v>
      </c>
      <c r="H71" s="11"/>
      <c r="I71" s="11"/>
      <c r="J71" s="11"/>
      <c r="K71" s="37">
        <v>634</v>
      </c>
      <c r="L71" s="27" t="s">
        <v>377</v>
      </c>
      <c r="M71" s="27" t="s">
        <v>378</v>
      </c>
      <c r="N71" s="27"/>
      <c r="O71" s="27">
        <v>484.06099999999998</v>
      </c>
      <c r="P71" s="20" t="s">
        <v>15</v>
      </c>
      <c r="Q71" s="27" t="s">
        <v>16</v>
      </c>
      <c r="R71" s="42">
        <f>K71+30</f>
        <v>664</v>
      </c>
      <c r="S71" s="28">
        <v>0</v>
      </c>
      <c r="T71" s="28">
        <v>0</v>
      </c>
      <c r="U71" s="28"/>
      <c r="V71" s="42">
        <v>634</v>
      </c>
      <c r="W71" s="28">
        <f>O71*V71</f>
        <v>306894.674</v>
      </c>
      <c r="X71" s="28">
        <v>705</v>
      </c>
      <c r="Y71" s="28">
        <v>0</v>
      </c>
      <c r="Z71" s="28">
        <v>0</v>
      </c>
      <c r="AA71" s="28"/>
      <c r="AB71" s="28">
        <v>705</v>
      </c>
      <c r="AC71" s="28">
        <f>AB71*O71</f>
        <v>341263.005</v>
      </c>
      <c r="AD71" s="28">
        <f t="shared" si="31"/>
        <v>34368.331000000006</v>
      </c>
    </row>
    <row r="72" spans="1:44" ht="32" x14ac:dyDescent="0.2">
      <c r="A72" s="3"/>
      <c r="B72" s="3" t="s">
        <v>76</v>
      </c>
      <c r="C72" s="3"/>
      <c r="D72" s="3" t="s">
        <v>95</v>
      </c>
      <c r="E72" s="3" t="s">
        <v>12</v>
      </c>
      <c r="F72" s="3" t="s">
        <v>13</v>
      </c>
      <c r="G72" s="3" t="s">
        <v>14</v>
      </c>
      <c r="H72" s="11"/>
      <c r="I72" s="11"/>
      <c r="J72" s="11"/>
      <c r="K72" s="37">
        <v>634</v>
      </c>
      <c r="L72" s="27" t="s">
        <v>377</v>
      </c>
      <c r="M72" s="27" t="s">
        <v>378</v>
      </c>
      <c r="N72" s="27"/>
      <c r="O72" s="27">
        <v>484.61399999999998</v>
      </c>
      <c r="P72" s="20" t="s">
        <v>15</v>
      </c>
      <c r="Q72" s="27" t="s">
        <v>16</v>
      </c>
      <c r="R72" s="42">
        <f>K72+30</f>
        <v>664</v>
      </c>
      <c r="S72" s="28">
        <v>0</v>
      </c>
      <c r="T72" s="28">
        <v>0</v>
      </c>
      <c r="U72" s="28"/>
      <c r="V72" s="42">
        <v>634</v>
      </c>
      <c r="W72" s="28">
        <f>O72*V72</f>
        <v>307245.27600000001</v>
      </c>
      <c r="X72" s="28">
        <v>705</v>
      </c>
      <c r="Y72" s="28">
        <v>0</v>
      </c>
      <c r="Z72" s="28">
        <v>0</v>
      </c>
      <c r="AA72" s="28"/>
      <c r="AB72" s="28">
        <v>705</v>
      </c>
      <c r="AC72" s="28">
        <f>AB72*O72</f>
        <v>341652.87</v>
      </c>
      <c r="AD72" s="28">
        <f t="shared" si="31"/>
        <v>34407.593999999983</v>
      </c>
    </row>
    <row r="73" spans="1:44" ht="32" x14ac:dyDescent="0.2">
      <c r="A73" s="3"/>
      <c r="B73" s="3" t="s">
        <v>76</v>
      </c>
      <c r="C73" s="3"/>
      <c r="D73" s="3" t="s">
        <v>96</v>
      </c>
      <c r="E73" s="3" t="s">
        <v>12</v>
      </c>
      <c r="F73" s="3" t="s">
        <v>13</v>
      </c>
      <c r="G73" s="3" t="s">
        <v>14</v>
      </c>
      <c r="H73" s="11"/>
      <c r="I73" s="11"/>
      <c r="J73" s="11"/>
      <c r="K73" s="37">
        <v>634</v>
      </c>
      <c r="L73" s="27" t="s">
        <v>377</v>
      </c>
      <c r="M73" s="27" t="s">
        <v>378</v>
      </c>
      <c r="N73" s="27"/>
      <c r="O73" s="27">
        <v>483.87299999999999</v>
      </c>
      <c r="P73" s="20" t="s">
        <v>15</v>
      </c>
      <c r="Q73" s="27" t="s">
        <v>16</v>
      </c>
      <c r="R73" s="42">
        <f>K73+30</f>
        <v>664</v>
      </c>
      <c r="S73" s="28">
        <v>0</v>
      </c>
      <c r="T73" s="28">
        <v>0</v>
      </c>
      <c r="U73" s="28"/>
      <c r="V73" s="42">
        <v>634</v>
      </c>
      <c r="W73" s="28">
        <f>O73*V73</f>
        <v>306775.48200000002</v>
      </c>
      <c r="X73" s="28">
        <v>705</v>
      </c>
      <c r="Y73" s="28">
        <v>0</v>
      </c>
      <c r="Z73" s="28">
        <v>0</v>
      </c>
      <c r="AA73" s="28"/>
      <c r="AB73" s="28">
        <v>705</v>
      </c>
      <c r="AC73" s="28">
        <f>AB73*O73</f>
        <v>341130.46499999997</v>
      </c>
      <c r="AD73" s="28">
        <f t="shared" si="31"/>
        <v>34354.982999999949</v>
      </c>
      <c r="AE73" t="s">
        <v>130</v>
      </c>
    </row>
    <row r="74" spans="1:44" ht="32" x14ac:dyDescent="0.2">
      <c r="A74" s="3"/>
      <c r="B74" s="3" t="s">
        <v>76</v>
      </c>
      <c r="C74" s="3"/>
      <c r="D74" s="3" t="s">
        <v>97</v>
      </c>
      <c r="E74" s="3" t="s">
        <v>12</v>
      </c>
      <c r="F74" s="3" t="s">
        <v>77</v>
      </c>
      <c r="G74" s="3" t="s">
        <v>14</v>
      </c>
      <c r="H74" s="11"/>
      <c r="I74" s="11"/>
      <c r="J74" s="11"/>
      <c r="K74" s="37">
        <v>634</v>
      </c>
      <c r="L74" s="27" t="s">
        <v>377</v>
      </c>
      <c r="M74" s="27" t="s">
        <v>378</v>
      </c>
      <c r="N74" s="27"/>
      <c r="O74" s="27">
        <v>482.08100000000002</v>
      </c>
      <c r="P74" s="20" t="s">
        <v>15</v>
      </c>
      <c r="Q74" s="27" t="s">
        <v>16</v>
      </c>
      <c r="R74" s="42">
        <f>K74+30</f>
        <v>664</v>
      </c>
      <c r="S74" s="28">
        <v>0</v>
      </c>
      <c r="T74" s="28">
        <v>0</v>
      </c>
      <c r="U74" s="28"/>
      <c r="V74" s="42">
        <v>634</v>
      </c>
      <c r="W74" s="28">
        <f>O74*V74</f>
        <v>305639.35399999999</v>
      </c>
      <c r="X74" s="28">
        <v>705</v>
      </c>
      <c r="Y74" s="28">
        <v>0</v>
      </c>
      <c r="Z74" s="28">
        <v>0</v>
      </c>
      <c r="AA74" s="28"/>
      <c r="AB74" s="28">
        <v>705</v>
      </c>
      <c r="AC74" s="28">
        <f>AB74*O74</f>
        <v>339867.10500000004</v>
      </c>
      <c r="AD74" s="28">
        <f t="shared" ref="AD74" si="32">AC74-W74</f>
        <v>34227.751000000047</v>
      </c>
      <c r="AE74" t="s">
        <v>131</v>
      </c>
    </row>
    <row r="75" spans="1:44" ht="32" x14ac:dyDescent="0.2">
      <c r="A75" s="3"/>
      <c r="B75" s="3" t="s">
        <v>76</v>
      </c>
      <c r="C75" s="3"/>
      <c r="D75" s="3" t="s">
        <v>98</v>
      </c>
      <c r="E75" s="3" t="s">
        <v>12</v>
      </c>
      <c r="F75" s="3" t="s">
        <v>79</v>
      </c>
      <c r="G75" s="3" t="s">
        <v>14</v>
      </c>
      <c r="H75" s="11"/>
      <c r="I75" s="11"/>
      <c r="J75" s="11"/>
      <c r="K75" s="37">
        <v>634</v>
      </c>
      <c r="L75" s="27" t="s">
        <v>377</v>
      </c>
      <c r="M75" s="27" t="s">
        <v>378</v>
      </c>
      <c r="N75" s="27"/>
      <c r="O75" s="27">
        <v>298.358</v>
      </c>
      <c r="P75" s="20" t="s">
        <v>15</v>
      </c>
      <c r="Q75" s="27" t="s">
        <v>16</v>
      </c>
      <c r="R75" s="42">
        <f>K75+30</f>
        <v>664</v>
      </c>
      <c r="S75" s="28">
        <v>0</v>
      </c>
      <c r="T75" s="28">
        <v>0</v>
      </c>
      <c r="U75" s="28"/>
      <c r="V75" s="42">
        <v>634</v>
      </c>
      <c r="W75" s="28">
        <f>O75*V75</f>
        <v>189158.97200000001</v>
      </c>
      <c r="X75" s="28">
        <v>705</v>
      </c>
      <c r="Y75" s="28">
        <v>0</v>
      </c>
      <c r="Z75" s="28">
        <v>0</v>
      </c>
      <c r="AA75" s="28"/>
      <c r="AB75" s="28">
        <v>705</v>
      </c>
      <c r="AC75" s="28">
        <f>AB75*O75</f>
        <v>210342.39</v>
      </c>
      <c r="AD75" s="28">
        <f t="shared" ref="AD75" si="33">AC75-W75</f>
        <v>21183.418000000005</v>
      </c>
      <c r="AE75" t="s">
        <v>132</v>
      </c>
    </row>
    <row r="76" spans="1:44" ht="20" x14ac:dyDescent="0.25">
      <c r="A76" s="61">
        <f ca="1">TODAY()</f>
        <v>46128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24" t="s">
        <v>17</v>
      </c>
      <c r="M76" s="24"/>
      <c r="N76" s="24"/>
      <c r="O76" s="24">
        <f>+SUM(O67:O75)</f>
        <v>4248.7540000000008</v>
      </c>
      <c r="P76" s="8"/>
      <c r="Q76" s="24"/>
      <c r="R76" s="24"/>
      <c r="S76" s="24"/>
      <c r="T76" s="24"/>
      <c r="U76" s="24"/>
      <c r="V76" s="24"/>
      <c r="W76" s="25">
        <f>+SUM(W67:W75)</f>
        <v>2689678.5019999999</v>
      </c>
      <c r="X76" s="24"/>
      <c r="Y76" s="24"/>
      <c r="Z76" s="24"/>
      <c r="AA76" s="24"/>
      <c r="AB76" s="24"/>
      <c r="AC76" s="25">
        <f>+SUM(AC67:AC75)</f>
        <v>2995371.57</v>
      </c>
      <c r="AD76" s="25">
        <f>+SUM(AD67:AD75)</f>
        <v>305693.06800000009</v>
      </c>
    </row>
    <row r="77" spans="1:44" ht="32" x14ac:dyDescent="0.2">
      <c r="A77" s="3"/>
      <c r="B77" s="3" t="s">
        <v>78</v>
      </c>
      <c r="C77" s="3"/>
      <c r="D77" s="3" t="s">
        <v>108</v>
      </c>
      <c r="E77" s="3" t="s">
        <v>12</v>
      </c>
      <c r="F77" s="3" t="s">
        <v>13</v>
      </c>
      <c r="G77" s="3" t="s">
        <v>109</v>
      </c>
      <c r="H77" s="60">
        <v>45768</v>
      </c>
      <c r="I77" s="60">
        <f>H77+60</f>
        <v>45828</v>
      </c>
      <c r="J77" s="62">
        <f ca="1">I77-$A$76</f>
        <v>-300</v>
      </c>
      <c r="K77" s="37"/>
      <c r="L77" s="27" t="s">
        <v>123</v>
      </c>
      <c r="M77" s="27" t="s">
        <v>375</v>
      </c>
      <c r="N77" s="27" t="s">
        <v>122</v>
      </c>
      <c r="O77" s="27">
        <v>88.977000000000004</v>
      </c>
      <c r="P77" s="20" t="s">
        <v>15</v>
      </c>
      <c r="Q77" s="27" t="s">
        <v>99</v>
      </c>
      <c r="R77" s="28">
        <v>650</v>
      </c>
      <c r="S77" s="28">
        <v>0</v>
      </c>
      <c r="T77" s="28">
        <v>0</v>
      </c>
      <c r="U77" s="28"/>
      <c r="V77" s="28">
        <f>SUM(R77:T77)</f>
        <v>650</v>
      </c>
      <c r="W77" s="28">
        <f>O77*V77</f>
        <v>57835.05</v>
      </c>
      <c r="X77" s="28">
        <v>800</v>
      </c>
      <c r="Y77" s="28">
        <v>0</v>
      </c>
      <c r="Z77" s="28">
        <v>0</v>
      </c>
      <c r="AA77" s="28"/>
      <c r="AB77" s="28">
        <v>800</v>
      </c>
      <c r="AC77" s="28">
        <f>AB77*O77</f>
        <v>71181.600000000006</v>
      </c>
      <c r="AD77" s="28">
        <f>AC77-W77</f>
        <v>13346.550000000003</v>
      </c>
      <c r="AE77" s="38" t="s">
        <v>133</v>
      </c>
      <c r="AF77" s="3"/>
      <c r="AG77" s="14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32" x14ac:dyDescent="0.2">
      <c r="A78" s="3"/>
      <c r="B78" s="3" t="s">
        <v>78</v>
      </c>
      <c r="C78" s="3"/>
      <c r="D78" s="3" t="s">
        <v>110</v>
      </c>
      <c r="E78" s="3" t="s">
        <v>12</v>
      </c>
      <c r="F78" s="3" t="s">
        <v>77</v>
      </c>
      <c r="G78" s="3" t="s">
        <v>109</v>
      </c>
      <c r="H78" s="60">
        <v>45768</v>
      </c>
      <c r="I78" s="60">
        <f t="shared" ref="I78:I82" si="34">H78+60</f>
        <v>45828</v>
      </c>
      <c r="J78" s="62">
        <f t="shared" ref="J78:J97" ca="1" si="35">I78-$A$76</f>
        <v>-300</v>
      </c>
      <c r="K78" s="37"/>
      <c r="L78" s="27" t="s">
        <v>123</v>
      </c>
      <c r="M78" s="27" t="s">
        <v>375</v>
      </c>
      <c r="N78" s="27" t="s">
        <v>124</v>
      </c>
      <c r="O78" s="27">
        <v>93.171000000000006</v>
      </c>
      <c r="P78" s="20" t="s">
        <v>15</v>
      </c>
      <c r="Q78" s="27" t="s">
        <v>99</v>
      </c>
      <c r="R78" s="28">
        <v>650</v>
      </c>
      <c r="S78" s="28">
        <v>0</v>
      </c>
      <c r="T78" s="28">
        <v>0</v>
      </c>
      <c r="U78" s="28"/>
      <c r="V78" s="28">
        <f>SUM(R78:T78)</f>
        <v>650</v>
      </c>
      <c r="W78" s="28">
        <f>O78*V78</f>
        <v>60561.15</v>
      </c>
      <c r="X78" s="28">
        <v>800</v>
      </c>
      <c r="Y78" s="28">
        <v>0</v>
      </c>
      <c r="Z78" s="28">
        <v>0</v>
      </c>
      <c r="AA78" s="28"/>
      <c r="AB78" s="28">
        <v>800</v>
      </c>
      <c r="AC78" s="28">
        <f>AB78*O78</f>
        <v>74536.800000000003</v>
      </c>
      <c r="AD78" s="28">
        <f t="shared" ref="AD78:AD82" si="36">AC78-W78</f>
        <v>13975.650000000001</v>
      </c>
      <c r="AE78" s="38" t="s">
        <v>133</v>
      </c>
      <c r="AF78" s="3"/>
      <c r="AG78" s="14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32" x14ac:dyDescent="0.2">
      <c r="A79" s="3"/>
      <c r="B79" s="3" t="s">
        <v>78</v>
      </c>
      <c r="C79" s="3"/>
      <c r="D79" s="3" t="s">
        <v>111</v>
      </c>
      <c r="E79" s="3" t="s">
        <v>12</v>
      </c>
      <c r="F79" s="3" t="s">
        <v>79</v>
      </c>
      <c r="G79" s="3" t="s">
        <v>109</v>
      </c>
      <c r="H79" s="60">
        <v>45768</v>
      </c>
      <c r="I79" s="60">
        <f t="shared" si="34"/>
        <v>45828</v>
      </c>
      <c r="J79" s="62">
        <f t="shared" ca="1" si="35"/>
        <v>-300</v>
      </c>
      <c r="K79" s="37"/>
      <c r="L79" s="27" t="s">
        <v>123</v>
      </c>
      <c r="M79" s="27" t="s">
        <v>375</v>
      </c>
      <c r="N79" s="27" t="s">
        <v>125</v>
      </c>
      <c r="O79" s="27">
        <v>92.948999999999998</v>
      </c>
      <c r="P79" s="20" t="s">
        <v>15</v>
      </c>
      <c r="Q79" s="27" t="s">
        <v>99</v>
      </c>
      <c r="R79" s="28">
        <v>650</v>
      </c>
      <c r="S79" s="28">
        <v>0</v>
      </c>
      <c r="T79" s="28">
        <v>0</v>
      </c>
      <c r="U79" s="28"/>
      <c r="V79" s="28">
        <f>SUM(R79:T79)</f>
        <v>650</v>
      </c>
      <c r="W79" s="28">
        <f>O79*V79</f>
        <v>60416.85</v>
      </c>
      <c r="X79" s="28">
        <v>800</v>
      </c>
      <c r="Y79" s="28">
        <v>0</v>
      </c>
      <c r="Z79" s="28">
        <v>0</v>
      </c>
      <c r="AA79" s="28"/>
      <c r="AB79" s="28">
        <v>800</v>
      </c>
      <c r="AC79" s="28">
        <f>AB79*O79</f>
        <v>74359.199999999997</v>
      </c>
      <c r="AD79" s="28">
        <f t="shared" si="36"/>
        <v>13942.349999999999</v>
      </c>
      <c r="AE79" s="38" t="s">
        <v>133</v>
      </c>
      <c r="AF79" s="3"/>
      <c r="AG79" s="14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32" x14ac:dyDescent="0.2">
      <c r="A80" s="3"/>
      <c r="B80" s="3" t="s">
        <v>78</v>
      </c>
      <c r="C80" s="3"/>
      <c r="D80" s="3" t="s">
        <v>112</v>
      </c>
      <c r="E80" s="3" t="s">
        <v>12</v>
      </c>
      <c r="F80" s="3" t="s">
        <v>115</v>
      </c>
      <c r="G80" s="3" t="s">
        <v>109</v>
      </c>
      <c r="H80" s="60">
        <v>45768</v>
      </c>
      <c r="I80" s="60">
        <f t="shared" si="34"/>
        <v>45828</v>
      </c>
      <c r="J80" s="62">
        <f t="shared" ca="1" si="35"/>
        <v>-300</v>
      </c>
      <c r="K80" s="37"/>
      <c r="L80" s="27" t="s">
        <v>123</v>
      </c>
      <c r="M80" s="27" t="s">
        <v>375</v>
      </c>
      <c r="N80" s="27" t="s">
        <v>126</v>
      </c>
      <c r="O80" s="27">
        <v>90.444000000000003</v>
      </c>
      <c r="P80" s="20" t="s">
        <v>15</v>
      </c>
      <c r="Q80" s="27" t="s">
        <v>99</v>
      </c>
      <c r="R80" s="28">
        <v>650</v>
      </c>
      <c r="S80" s="28">
        <v>0</v>
      </c>
      <c r="T80" s="28">
        <v>0</v>
      </c>
      <c r="U80" s="28"/>
      <c r="V80" s="28">
        <f>SUM(R80:T80)</f>
        <v>650</v>
      </c>
      <c r="W80" s="28">
        <f>O80*V80</f>
        <v>58788.6</v>
      </c>
      <c r="X80" s="28">
        <v>800</v>
      </c>
      <c r="Y80" s="28">
        <v>0</v>
      </c>
      <c r="Z80" s="28">
        <v>0</v>
      </c>
      <c r="AA80" s="28"/>
      <c r="AB80" s="28">
        <v>800</v>
      </c>
      <c r="AC80" s="28">
        <f>AB80*O80</f>
        <v>72355.199999999997</v>
      </c>
      <c r="AD80" s="28">
        <f t="shared" si="36"/>
        <v>13566.599999999999</v>
      </c>
      <c r="AE80" s="38" t="s">
        <v>133</v>
      </c>
      <c r="AF80" s="3"/>
      <c r="AG80" s="14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32" x14ac:dyDescent="0.2">
      <c r="A81" s="3"/>
      <c r="B81" s="3" t="s">
        <v>78</v>
      </c>
      <c r="C81" s="3"/>
      <c r="D81" s="3" t="s">
        <v>113</v>
      </c>
      <c r="E81" s="3" t="s">
        <v>12</v>
      </c>
      <c r="F81" s="3" t="s">
        <v>116</v>
      </c>
      <c r="G81" s="3" t="s">
        <v>109</v>
      </c>
      <c r="H81" s="60">
        <v>45768</v>
      </c>
      <c r="I81" s="60">
        <f t="shared" si="34"/>
        <v>45828</v>
      </c>
      <c r="J81" s="62">
        <f t="shared" ca="1" si="35"/>
        <v>-300</v>
      </c>
      <c r="K81" s="37"/>
      <c r="L81" s="27" t="s">
        <v>119</v>
      </c>
      <c r="M81" s="27" t="s">
        <v>375</v>
      </c>
      <c r="N81" s="27" t="s">
        <v>121</v>
      </c>
      <c r="O81" s="27">
        <v>90.123000000000005</v>
      </c>
      <c r="P81" s="20" t="s">
        <v>15</v>
      </c>
      <c r="Q81" s="27" t="s">
        <v>99</v>
      </c>
      <c r="R81" s="28">
        <v>650</v>
      </c>
      <c r="S81" s="28">
        <v>0</v>
      </c>
      <c r="T81" s="28">
        <v>0</v>
      </c>
      <c r="U81" s="28"/>
      <c r="V81" s="28">
        <f>SUM(R81:T81)</f>
        <v>650</v>
      </c>
      <c r="W81" s="28">
        <f>O81*V81</f>
        <v>58579.950000000004</v>
      </c>
      <c r="X81" s="28">
        <v>800</v>
      </c>
      <c r="Y81" s="28">
        <v>0</v>
      </c>
      <c r="Z81" s="28">
        <v>0</v>
      </c>
      <c r="AA81" s="28"/>
      <c r="AB81" s="28">
        <v>800</v>
      </c>
      <c r="AC81" s="28">
        <f>AB81*O81</f>
        <v>72098.400000000009</v>
      </c>
      <c r="AD81" s="28">
        <f t="shared" si="36"/>
        <v>13518.450000000004</v>
      </c>
      <c r="AE81" s="38" t="s">
        <v>133</v>
      </c>
      <c r="AF81" s="3"/>
      <c r="AG81" s="14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32" x14ac:dyDescent="0.2">
      <c r="A82" s="3"/>
      <c r="B82" s="3" t="s">
        <v>78</v>
      </c>
      <c r="C82" s="3"/>
      <c r="D82" s="3" t="s">
        <v>114</v>
      </c>
      <c r="E82" s="3" t="s">
        <v>12</v>
      </c>
      <c r="F82" s="3" t="s">
        <v>117</v>
      </c>
      <c r="G82" s="3" t="s">
        <v>109</v>
      </c>
      <c r="H82" s="60">
        <v>45768</v>
      </c>
      <c r="I82" s="60">
        <f t="shared" si="34"/>
        <v>45828</v>
      </c>
      <c r="J82" s="62">
        <f t="shared" ca="1" si="35"/>
        <v>-300</v>
      </c>
      <c r="K82" s="37"/>
      <c r="L82" s="27" t="s">
        <v>118</v>
      </c>
      <c r="M82" s="27" t="s">
        <v>375</v>
      </c>
      <c r="N82" s="27" t="s">
        <v>120</v>
      </c>
      <c r="O82" s="27">
        <v>93.228999999999999</v>
      </c>
      <c r="P82" s="20" t="s">
        <v>15</v>
      </c>
      <c r="Q82" s="27" t="s">
        <v>99</v>
      </c>
      <c r="R82" s="28">
        <v>650</v>
      </c>
      <c r="S82" s="28">
        <v>0</v>
      </c>
      <c r="T82" s="28">
        <v>0</v>
      </c>
      <c r="U82" s="28"/>
      <c r="V82" s="28">
        <f>SUM(R82:T82)</f>
        <v>650</v>
      </c>
      <c r="W82" s="28">
        <f>O82*V82</f>
        <v>60598.85</v>
      </c>
      <c r="X82" s="28">
        <v>800</v>
      </c>
      <c r="Y82" s="28">
        <v>0</v>
      </c>
      <c r="Z82" s="28">
        <v>0</v>
      </c>
      <c r="AA82" s="28"/>
      <c r="AB82" s="28">
        <v>800</v>
      </c>
      <c r="AC82" s="28">
        <f>AB82*O82</f>
        <v>74583.199999999997</v>
      </c>
      <c r="AD82" s="28">
        <f t="shared" si="36"/>
        <v>13984.349999999999</v>
      </c>
      <c r="AE82" s="38" t="s">
        <v>133</v>
      </c>
      <c r="AK82" s="3"/>
      <c r="AL82" s="3"/>
      <c r="AM82" s="3"/>
      <c r="AN82" s="3"/>
      <c r="AO82" s="3"/>
      <c r="AP82" s="3"/>
      <c r="AQ82" s="3"/>
      <c r="AR82" s="3"/>
    </row>
    <row r="83" spans="1:44" ht="20" x14ac:dyDescent="0.25">
      <c r="A83" s="6"/>
      <c r="B83" s="6"/>
      <c r="C83" s="7"/>
      <c r="D83" s="7"/>
      <c r="E83" s="7"/>
      <c r="F83" s="7"/>
      <c r="G83" s="7"/>
      <c r="H83" s="7"/>
      <c r="I83" s="7"/>
      <c r="J83" s="62"/>
      <c r="K83" s="7"/>
      <c r="L83" s="24" t="s">
        <v>17</v>
      </c>
      <c r="M83" s="24"/>
      <c r="N83" s="24"/>
      <c r="O83" s="24">
        <f>+SUM(O77:O82)</f>
        <v>548.89300000000003</v>
      </c>
      <c r="P83" s="24"/>
      <c r="Q83" s="24"/>
      <c r="R83" s="24"/>
      <c r="S83" s="24"/>
      <c r="T83" s="24"/>
      <c r="U83" s="24"/>
      <c r="V83" s="24"/>
      <c r="W83" s="25">
        <f>+SUM(W77:W82)</f>
        <v>356780.45</v>
      </c>
      <c r="X83" s="24"/>
      <c r="Y83" s="24"/>
      <c r="Z83" s="24"/>
      <c r="AA83" s="24"/>
      <c r="AB83" s="24"/>
      <c r="AC83" s="25">
        <f>+SUM(AC77:AC82)</f>
        <v>439114.40000000008</v>
      </c>
      <c r="AD83" s="25">
        <f>+SUM(AD77:AD82)</f>
        <v>82333.950000000012</v>
      </c>
    </row>
    <row r="84" spans="1:44" ht="32" x14ac:dyDescent="0.2">
      <c r="A84" s="3"/>
      <c r="B84" s="3" t="s">
        <v>100</v>
      </c>
      <c r="C84" s="3"/>
      <c r="D84" s="3" t="s">
        <v>102</v>
      </c>
      <c r="E84" s="3" t="s">
        <v>12</v>
      </c>
      <c r="F84" s="3" t="s">
        <v>13</v>
      </c>
      <c r="G84" s="3" t="s">
        <v>14</v>
      </c>
      <c r="H84" s="60">
        <v>45788</v>
      </c>
      <c r="I84" s="60">
        <f>H84+60</f>
        <v>45848</v>
      </c>
      <c r="J84" s="62">
        <f t="shared" ca="1" si="35"/>
        <v>-280</v>
      </c>
      <c r="K84" s="37"/>
      <c r="L84" s="27" t="s">
        <v>377</v>
      </c>
      <c r="M84" s="27" t="s">
        <v>378</v>
      </c>
      <c r="N84" s="27"/>
      <c r="O84" s="27">
        <v>498.25799999999998</v>
      </c>
      <c r="P84" s="20" t="s">
        <v>15</v>
      </c>
      <c r="Q84" s="27" t="s">
        <v>16</v>
      </c>
      <c r="R84" s="28">
        <v>668</v>
      </c>
      <c r="S84" s="28">
        <v>0</v>
      </c>
      <c r="T84" s="28">
        <v>-20</v>
      </c>
      <c r="U84" s="28"/>
      <c r="V84" s="28">
        <f>R84+T84</f>
        <v>648</v>
      </c>
      <c r="W84" s="28">
        <f>O84*V84</f>
        <v>322871.18400000001</v>
      </c>
      <c r="X84" s="28">
        <v>740</v>
      </c>
      <c r="Y84" s="28">
        <v>0</v>
      </c>
      <c r="Z84" s="28">
        <v>0</v>
      </c>
      <c r="AA84" s="28"/>
      <c r="AB84" s="28">
        <v>740</v>
      </c>
      <c r="AC84" s="28">
        <f>AB84*O84</f>
        <v>368710.92</v>
      </c>
      <c r="AD84" s="28">
        <f>AC84-W84</f>
        <v>45839.735999999975</v>
      </c>
      <c r="AE84" s="38" t="s">
        <v>134</v>
      </c>
    </row>
    <row r="85" spans="1:44" ht="32" x14ac:dyDescent="0.2">
      <c r="A85" s="3"/>
      <c r="B85" s="3" t="s">
        <v>100</v>
      </c>
      <c r="C85" s="3"/>
      <c r="D85" s="3" t="s">
        <v>103</v>
      </c>
      <c r="E85" s="3" t="s">
        <v>12</v>
      </c>
      <c r="F85" s="3" t="s">
        <v>77</v>
      </c>
      <c r="G85" s="3" t="s">
        <v>14</v>
      </c>
      <c r="H85" s="60">
        <v>45796</v>
      </c>
      <c r="I85" s="60">
        <f t="shared" ref="I85:I90" si="37">H85+60</f>
        <v>45856</v>
      </c>
      <c r="J85" s="62">
        <f t="shared" ca="1" si="35"/>
        <v>-272</v>
      </c>
      <c r="K85" s="37"/>
      <c r="L85" s="27" t="s">
        <v>377</v>
      </c>
      <c r="M85" s="27" t="s">
        <v>378</v>
      </c>
      <c r="N85" s="27"/>
      <c r="O85" s="27">
        <v>499.48</v>
      </c>
      <c r="P85" s="20" t="s">
        <v>15</v>
      </c>
      <c r="Q85" s="27" t="s">
        <v>16</v>
      </c>
      <c r="R85" s="28">
        <v>668</v>
      </c>
      <c r="S85" s="28">
        <v>0</v>
      </c>
      <c r="T85" s="28">
        <v>-20</v>
      </c>
      <c r="U85" s="28"/>
      <c r="V85" s="28">
        <f>R85+T85</f>
        <v>648</v>
      </c>
      <c r="W85" s="28">
        <f>O85*V85</f>
        <v>323663.04000000004</v>
      </c>
      <c r="X85" s="28">
        <v>740</v>
      </c>
      <c r="Y85" s="28">
        <v>0</v>
      </c>
      <c r="Z85" s="28">
        <v>0</v>
      </c>
      <c r="AA85" s="28"/>
      <c r="AB85" s="28">
        <v>740</v>
      </c>
      <c r="AC85" s="28">
        <f>AB85*O85</f>
        <v>369615.2</v>
      </c>
      <c r="AD85" s="28">
        <f t="shared" ref="AD85:AD86" si="38">AC85-W85</f>
        <v>45952.159999999974</v>
      </c>
      <c r="AE85" s="38" t="s">
        <v>135</v>
      </c>
    </row>
    <row r="86" spans="1:44" ht="32" x14ac:dyDescent="0.2">
      <c r="A86" s="3"/>
      <c r="B86" s="3" t="s">
        <v>100</v>
      </c>
      <c r="C86" s="3"/>
      <c r="D86" s="3" t="s">
        <v>104</v>
      </c>
      <c r="E86" s="3" t="s">
        <v>12</v>
      </c>
      <c r="F86" s="3" t="s">
        <v>79</v>
      </c>
      <c r="G86" s="3" t="s">
        <v>14</v>
      </c>
      <c r="H86" s="60">
        <v>45799</v>
      </c>
      <c r="I86" s="60">
        <f t="shared" si="37"/>
        <v>45859</v>
      </c>
      <c r="J86" s="62">
        <f t="shared" ca="1" si="35"/>
        <v>-269</v>
      </c>
      <c r="K86" s="37"/>
      <c r="L86" s="27" t="s">
        <v>377</v>
      </c>
      <c r="M86" s="27" t="s">
        <v>378</v>
      </c>
      <c r="N86" s="27"/>
      <c r="O86" s="27">
        <v>498.49200000000002</v>
      </c>
      <c r="P86" s="20" t="s">
        <v>15</v>
      </c>
      <c r="Q86" s="27" t="s">
        <v>16</v>
      </c>
      <c r="R86" s="28">
        <v>668</v>
      </c>
      <c r="S86" s="28">
        <v>0</v>
      </c>
      <c r="T86" s="28">
        <v>-20</v>
      </c>
      <c r="U86" s="28"/>
      <c r="V86" s="28">
        <f>R86+T86</f>
        <v>648</v>
      </c>
      <c r="W86" s="28">
        <f>O86*V86</f>
        <v>323022.81599999999</v>
      </c>
      <c r="X86" s="28">
        <v>740</v>
      </c>
      <c r="Y86" s="28">
        <v>0</v>
      </c>
      <c r="Z86" s="28">
        <v>0</v>
      </c>
      <c r="AA86" s="28"/>
      <c r="AB86" s="28">
        <v>740</v>
      </c>
      <c r="AC86" s="28">
        <f>AB86*O86</f>
        <v>368884.08</v>
      </c>
      <c r="AD86" s="28">
        <f t="shared" si="38"/>
        <v>45861.264000000025</v>
      </c>
      <c r="AE86" s="38" t="s">
        <v>135</v>
      </c>
    </row>
    <row r="87" spans="1:44" ht="20" x14ac:dyDescent="0.25">
      <c r="A87" s="6"/>
      <c r="B87" s="6"/>
      <c r="C87" s="7"/>
      <c r="D87" s="7"/>
      <c r="E87" s="7"/>
      <c r="F87" s="7"/>
      <c r="G87" s="7"/>
      <c r="H87" s="7"/>
      <c r="I87" s="60"/>
      <c r="J87" s="62"/>
      <c r="K87" s="7">
        <f>SUM(O87,O91)</f>
        <v>2993.2339999999999</v>
      </c>
      <c r="L87" s="24" t="s">
        <v>17</v>
      </c>
      <c r="M87" s="24"/>
      <c r="N87" s="24"/>
      <c r="O87" s="24">
        <f>+SUM(O84:O86)</f>
        <v>1496.23</v>
      </c>
      <c r="P87" s="8"/>
      <c r="Q87" s="24"/>
      <c r="R87" s="24"/>
      <c r="S87" s="24"/>
      <c r="T87" s="24"/>
      <c r="U87" s="24"/>
      <c r="V87" s="24"/>
      <c r="W87" s="25">
        <f>+SUM(W84:W86)</f>
        <v>969557.04</v>
      </c>
      <c r="X87" s="24"/>
      <c r="Y87" s="24"/>
      <c r="Z87" s="24"/>
      <c r="AA87" s="24"/>
      <c r="AB87" s="24"/>
      <c r="AC87" s="25">
        <f>+SUM(AC84:AC86)</f>
        <v>1107210.2</v>
      </c>
      <c r="AD87" s="25">
        <f>+SUM(AD84:AD86)</f>
        <v>137653.15999999997</v>
      </c>
    </row>
    <row r="88" spans="1:44" ht="32" x14ac:dyDescent="0.2">
      <c r="A88" s="3"/>
      <c r="B88" s="3" t="s">
        <v>101</v>
      </c>
      <c r="C88" s="3"/>
      <c r="D88" s="3" t="s">
        <v>105</v>
      </c>
      <c r="E88" s="3" t="s">
        <v>12</v>
      </c>
      <c r="F88" s="3" t="s">
        <v>13</v>
      </c>
      <c r="G88" s="3" t="s">
        <v>14</v>
      </c>
      <c r="H88" s="60">
        <v>45814</v>
      </c>
      <c r="I88" s="60">
        <f t="shared" si="37"/>
        <v>45874</v>
      </c>
      <c r="J88" s="62">
        <f t="shared" ca="1" si="35"/>
        <v>-254</v>
      </c>
      <c r="K88" s="37">
        <f>O101</f>
        <v>1002.071</v>
      </c>
      <c r="L88" s="27" t="s">
        <v>377</v>
      </c>
      <c r="M88" s="27" t="s">
        <v>378</v>
      </c>
      <c r="N88" s="27"/>
      <c r="O88" s="27">
        <v>499.11599999999999</v>
      </c>
      <c r="P88" s="20" t="s">
        <v>15</v>
      </c>
      <c r="Q88" s="27" t="s">
        <v>16</v>
      </c>
      <c r="R88" s="28">
        <v>675</v>
      </c>
      <c r="S88" s="28">
        <v>0</v>
      </c>
      <c r="T88" s="28">
        <v>-20</v>
      </c>
      <c r="U88" s="28"/>
      <c r="V88" s="28">
        <f>R88+T88</f>
        <v>655</v>
      </c>
      <c r="W88" s="28">
        <f>O88*V88</f>
        <v>326920.98</v>
      </c>
      <c r="X88" s="28">
        <v>740</v>
      </c>
      <c r="Y88" s="28">
        <v>0</v>
      </c>
      <c r="Z88" s="28">
        <v>0</v>
      </c>
      <c r="AA88" s="28"/>
      <c r="AB88" s="28">
        <v>740</v>
      </c>
      <c r="AC88" s="28">
        <f>AB88*O88</f>
        <v>369345.83999999997</v>
      </c>
      <c r="AD88" s="28">
        <f t="shared" ref="AD88:AD90" si="39">AC88-W88</f>
        <v>42424.859999999986</v>
      </c>
      <c r="AE88" s="38" t="s">
        <v>175</v>
      </c>
    </row>
    <row r="89" spans="1:44" ht="32" x14ac:dyDescent="0.2">
      <c r="A89" s="3"/>
      <c r="B89" s="3" t="s">
        <v>101</v>
      </c>
      <c r="C89" s="3"/>
      <c r="D89" s="3" t="s">
        <v>106</v>
      </c>
      <c r="E89" s="3" t="s">
        <v>12</v>
      </c>
      <c r="F89" s="3" t="s">
        <v>77</v>
      </c>
      <c r="G89" s="3" t="s">
        <v>14</v>
      </c>
      <c r="H89" s="60">
        <v>45814</v>
      </c>
      <c r="I89" s="60">
        <f t="shared" si="37"/>
        <v>45874</v>
      </c>
      <c r="J89" s="62">
        <f t="shared" ca="1" si="35"/>
        <v>-254</v>
      </c>
      <c r="K89" s="37"/>
      <c r="L89" s="27" t="s">
        <v>377</v>
      </c>
      <c r="M89" s="27" t="s">
        <v>378</v>
      </c>
      <c r="N89" s="27"/>
      <c r="O89" s="27">
        <v>498.27</v>
      </c>
      <c r="P89" s="20" t="s">
        <v>15</v>
      </c>
      <c r="Q89" s="27" t="s">
        <v>16</v>
      </c>
      <c r="R89" s="28">
        <v>675</v>
      </c>
      <c r="S89" s="28">
        <v>0</v>
      </c>
      <c r="T89" s="28">
        <v>-20</v>
      </c>
      <c r="U89" s="28"/>
      <c r="V89" s="28">
        <f>R89+T89</f>
        <v>655</v>
      </c>
      <c r="W89" s="28">
        <f>O89*V89</f>
        <v>326366.84999999998</v>
      </c>
      <c r="X89" s="28">
        <v>740</v>
      </c>
      <c r="Y89" s="28">
        <v>0</v>
      </c>
      <c r="Z89" s="28">
        <v>0</v>
      </c>
      <c r="AA89" s="28"/>
      <c r="AB89" s="28">
        <v>740</v>
      </c>
      <c r="AC89" s="28">
        <f>AB89*O89</f>
        <v>368719.8</v>
      </c>
      <c r="AD89" s="28">
        <f t="shared" si="39"/>
        <v>42352.950000000012</v>
      </c>
      <c r="AE89" s="38" t="s">
        <v>185</v>
      </c>
    </row>
    <row r="90" spans="1:44" ht="32" x14ac:dyDescent="0.2">
      <c r="A90" s="3"/>
      <c r="B90" s="3" t="s">
        <v>101</v>
      </c>
      <c r="C90" s="3"/>
      <c r="D90" s="3" t="s">
        <v>107</v>
      </c>
      <c r="E90" s="3" t="s">
        <v>12</v>
      </c>
      <c r="F90" s="3" t="s">
        <v>79</v>
      </c>
      <c r="G90" s="3" t="s">
        <v>14</v>
      </c>
      <c r="H90" s="60">
        <v>45822</v>
      </c>
      <c r="I90" s="60">
        <f t="shared" si="37"/>
        <v>45882</v>
      </c>
      <c r="J90" s="62">
        <f t="shared" ca="1" si="35"/>
        <v>-246</v>
      </c>
      <c r="K90" s="37"/>
      <c r="L90" s="27" t="s">
        <v>377</v>
      </c>
      <c r="M90" s="27" t="s">
        <v>378</v>
      </c>
      <c r="N90" s="27"/>
      <c r="O90" s="27">
        <v>499.61799999999999</v>
      </c>
      <c r="P90" s="20" t="s">
        <v>15</v>
      </c>
      <c r="Q90" s="27" t="s">
        <v>16</v>
      </c>
      <c r="R90" s="28">
        <v>675</v>
      </c>
      <c r="S90" s="28">
        <v>0</v>
      </c>
      <c r="T90" s="28">
        <v>-20</v>
      </c>
      <c r="U90" s="28"/>
      <c r="V90" s="28">
        <f>R90+T90</f>
        <v>655</v>
      </c>
      <c r="W90" s="28">
        <f>O90*V90</f>
        <v>327249.78999999998</v>
      </c>
      <c r="X90" s="28">
        <v>740</v>
      </c>
      <c r="Y90" s="28">
        <v>0</v>
      </c>
      <c r="Z90" s="28">
        <v>0</v>
      </c>
      <c r="AA90" s="28"/>
      <c r="AB90" s="28">
        <v>740</v>
      </c>
      <c r="AC90" s="28">
        <f>AB90*O90</f>
        <v>369717.32</v>
      </c>
      <c r="AD90" s="28">
        <f t="shared" si="39"/>
        <v>42467.530000000028</v>
      </c>
      <c r="AE90" s="38" t="s">
        <v>196</v>
      </c>
    </row>
    <row r="91" spans="1:44" ht="20" x14ac:dyDescent="0.25">
      <c r="A91" s="6"/>
      <c r="B91" s="6"/>
      <c r="C91" s="7"/>
      <c r="D91" s="7"/>
      <c r="E91" s="7"/>
      <c r="F91" s="7"/>
      <c r="G91" s="7"/>
      <c r="H91" s="7"/>
      <c r="I91" s="7"/>
      <c r="J91" s="62"/>
      <c r="K91" s="7"/>
      <c r="L91" s="24" t="s">
        <v>17</v>
      </c>
      <c r="M91" s="24"/>
      <c r="N91" s="24"/>
      <c r="O91" s="24">
        <f>+SUM(O88:O90)</f>
        <v>1497.0039999999999</v>
      </c>
      <c r="P91" s="8"/>
      <c r="Q91" s="24"/>
      <c r="R91" s="24"/>
      <c r="S91" s="24"/>
      <c r="T91" s="24"/>
      <c r="U91" s="24"/>
      <c r="V91" s="24"/>
      <c r="W91" s="25">
        <f>+SUM(W88:W90)</f>
        <v>980537.61999999988</v>
      </c>
      <c r="X91" s="24"/>
      <c r="Y91" s="24"/>
      <c r="Z91" s="25"/>
      <c r="AA91" s="25"/>
      <c r="AB91" s="24"/>
      <c r="AC91" s="25">
        <f>+SUM(AC88:AC90)</f>
        <v>1107782.96</v>
      </c>
      <c r="AD91" s="25">
        <f>+SUM(AD88:AD90)</f>
        <v>127245.34000000003</v>
      </c>
    </row>
    <row r="92" spans="1:44" ht="32" x14ac:dyDescent="0.2">
      <c r="A92" s="3"/>
      <c r="B92" s="3" t="s">
        <v>168</v>
      </c>
      <c r="C92" s="3"/>
      <c r="D92" s="3" t="s">
        <v>169</v>
      </c>
      <c r="E92" s="3" t="s">
        <v>12</v>
      </c>
      <c r="F92" s="3" t="s">
        <v>13</v>
      </c>
      <c r="G92" s="3" t="s">
        <v>109</v>
      </c>
      <c r="H92" s="60">
        <v>45807</v>
      </c>
      <c r="I92" s="60">
        <f>H92+60</f>
        <v>45867</v>
      </c>
      <c r="J92" s="62">
        <f t="shared" ca="1" si="35"/>
        <v>-261</v>
      </c>
      <c r="K92" s="37"/>
      <c r="L92" s="27" t="s">
        <v>123</v>
      </c>
      <c r="M92" s="27" t="s">
        <v>375</v>
      </c>
      <c r="N92" s="27" t="s">
        <v>176</v>
      </c>
      <c r="O92" s="27">
        <v>92.852999999999994</v>
      </c>
      <c r="P92" s="20" t="s">
        <v>15</v>
      </c>
      <c r="Q92" s="27" t="s">
        <v>99</v>
      </c>
      <c r="R92" s="28">
        <v>650</v>
      </c>
      <c r="S92" s="28">
        <v>0</v>
      </c>
      <c r="T92" s="28">
        <v>0</v>
      </c>
      <c r="U92" s="28"/>
      <c r="V92" s="28">
        <f>SUM(R92:T92)</f>
        <v>650</v>
      </c>
      <c r="W92" s="28">
        <f>O92*V92</f>
        <v>60354.45</v>
      </c>
      <c r="X92" s="28">
        <v>800</v>
      </c>
      <c r="Y92" s="28">
        <v>0</v>
      </c>
      <c r="Z92" s="28">
        <v>0</v>
      </c>
      <c r="AA92" s="28"/>
      <c r="AB92" s="28">
        <v>800</v>
      </c>
      <c r="AC92" s="28">
        <f>AB92*O92</f>
        <v>74282.399999999994</v>
      </c>
      <c r="AD92" s="28">
        <f>AC92-W92</f>
        <v>13927.949999999997</v>
      </c>
      <c r="AE92" s="38" t="s">
        <v>183</v>
      </c>
      <c r="AF92" s="3"/>
      <c r="AG92" s="14"/>
      <c r="AH92" s="17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32" x14ac:dyDescent="0.2">
      <c r="A93" s="3"/>
      <c r="B93" s="3" t="s">
        <v>168</v>
      </c>
      <c r="C93" s="3"/>
      <c r="D93" s="3" t="s">
        <v>170</v>
      </c>
      <c r="E93" s="3" t="s">
        <v>12</v>
      </c>
      <c r="F93" s="3" t="s">
        <v>77</v>
      </c>
      <c r="G93" s="3" t="s">
        <v>109</v>
      </c>
      <c r="H93" s="60">
        <v>45807</v>
      </c>
      <c r="I93" s="60">
        <f t="shared" ref="I93:I97" si="40">H93+60</f>
        <v>45867</v>
      </c>
      <c r="J93" s="62">
        <f t="shared" ca="1" si="35"/>
        <v>-261</v>
      </c>
      <c r="K93" s="37"/>
      <c r="L93" s="27" t="s">
        <v>123</v>
      </c>
      <c r="M93" s="27" t="s">
        <v>375</v>
      </c>
      <c r="N93" s="27" t="s">
        <v>177</v>
      </c>
      <c r="O93" s="27">
        <v>92.924999999999997</v>
      </c>
      <c r="P93" s="20" t="s">
        <v>15</v>
      </c>
      <c r="Q93" s="27" t="s">
        <v>99</v>
      </c>
      <c r="R93" s="28">
        <v>650</v>
      </c>
      <c r="S93" s="28">
        <v>0</v>
      </c>
      <c r="T93" s="28">
        <v>0</v>
      </c>
      <c r="U93" s="28"/>
      <c r="V93" s="28">
        <f>SUM(R93:T93)</f>
        <v>650</v>
      </c>
      <c r="W93" s="28">
        <f>O93*V93</f>
        <v>60401.25</v>
      </c>
      <c r="X93" s="28">
        <v>800</v>
      </c>
      <c r="Y93" s="28">
        <v>0</v>
      </c>
      <c r="Z93" s="28">
        <v>0</v>
      </c>
      <c r="AA93" s="28"/>
      <c r="AB93" s="28">
        <v>800</v>
      </c>
      <c r="AC93" s="28">
        <f>AB93*O93</f>
        <v>74340</v>
      </c>
      <c r="AD93" s="28">
        <f t="shared" ref="AD93:AD97" si="41">AC93-W93</f>
        <v>13938.75</v>
      </c>
      <c r="AE93" s="38" t="s">
        <v>183</v>
      </c>
      <c r="AF93" s="3"/>
      <c r="AG93" s="14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32" x14ac:dyDescent="0.2">
      <c r="A94" s="3"/>
      <c r="B94" s="3" t="s">
        <v>168</v>
      </c>
      <c r="C94" s="3"/>
      <c r="D94" s="3" t="s">
        <v>171</v>
      </c>
      <c r="E94" s="3" t="s">
        <v>12</v>
      </c>
      <c r="F94" s="3" t="s">
        <v>79</v>
      </c>
      <c r="G94" s="3" t="s">
        <v>109</v>
      </c>
      <c r="H94" s="60">
        <v>45807</v>
      </c>
      <c r="I94" s="60">
        <f t="shared" si="40"/>
        <v>45867</v>
      </c>
      <c r="J94" s="62">
        <f t="shared" ca="1" si="35"/>
        <v>-261</v>
      </c>
      <c r="K94" s="37"/>
      <c r="L94" s="27" t="s">
        <v>119</v>
      </c>
      <c r="M94" s="27" t="s">
        <v>375</v>
      </c>
      <c r="N94" s="27" t="s">
        <v>178</v>
      </c>
      <c r="O94" s="27">
        <v>91.241</v>
      </c>
      <c r="P94" s="20" t="s">
        <v>15</v>
      </c>
      <c r="Q94" s="27" t="s">
        <v>99</v>
      </c>
      <c r="R94" s="28">
        <v>650</v>
      </c>
      <c r="S94" s="28">
        <v>0</v>
      </c>
      <c r="T94" s="28">
        <v>0</v>
      </c>
      <c r="U94" s="28"/>
      <c r="V94" s="28">
        <f>SUM(R94:T94)</f>
        <v>650</v>
      </c>
      <c r="W94" s="28">
        <f>O94*V94</f>
        <v>59306.65</v>
      </c>
      <c r="X94" s="28">
        <v>800</v>
      </c>
      <c r="Y94" s="28">
        <v>0</v>
      </c>
      <c r="Z94" s="28">
        <v>0</v>
      </c>
      <c r="AA94" s="28"/>
      <c r="AB94" s="28">
        <v>800</v>
      </c>
      <c r="AC94" s="28">
        <f>AB94*O94</f>
        <v>72992.800000000003</v>
      </c>
      <c r="AD94" s="28">
        <f t="shared" si="41"/>
        <v>13686.150000000001</v>
      </c>
      <c r="AE94" s="38" t="s">
        <v>183</v>
      </c>
      <c r="AF94" s="3"/>
      <c r="AG94" s="14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32" x14ac:dyDescent="0.2">
      <c r="A95" s="3"/>
      <c r="B95" s="3" t="s">
        <v>168</v>
      </c>
      <c r="C95" s="3"/>
      <c r="D95" s="3" t="s">
        <v>172</v>
      </c>
      <c r="E95" s="3" t="s">
        <v>12</v>
      </c>
      <c r="F95" s="3" t="s">
        <v>115</v>
      </c>
      <c r="G95" s="3" t="s">
        <v>109</v>
      </c>
      <c r="H95" s="60">
        <v>45807</v>
      </c>
      <c r="I95" s="60">
        <f t="shared" si="40"/>
        <v>45867</v>
      </c>
      <c r="J95" s="62">
        <f t="shared" ca="1" si="35"/>
        <v>-261</v>
      </c>
      <c r="K95" s="37"/>
      <c r="L95" s="27" t="s">
        <v>119</v>
      </c>
      <c r="M95" s="27" t="s">
        <v>375</v>
      </c>
      <c r="N95" s="27" t="s">
        <v>179</v>
      </c>
      <c r="O95" s="27">
        <v>91.69</v>
      </c>
      <c r="P95" s="20" t="s">
        <v>15</v>
      </c>
      <c r="Q95" s="27" t="s">
        <v>99</v>
      </c>
      <c r="R95" s="28">
        <v>650</v>
      </c>
      <c r="S95" s="28">
        <v>0</v>
      </c>
      <c r="T95" s="28">
        <v>0</v>
      </c>
      <c r="U95" s="28"/>
      <c r="V95" s="28">
        <f>SUM(R95:T95)</f>
        <v>650</v>
      </c>
      <c r="W95" s="28">
        <f>O95*V95</f>
        <v>59598.5</v>
      </c>
      <c r="X95" s="28">
        <v>800</v>
      </c>
      <c r="Y95" s="28">
        <v>0</v>
      </c>
      <c r="Z95" s="28">
        <v>0</v>
      </c>
      <c r="AA95" s="28"/>
      <c r="AB95" s="28">
        <v>800</v>
      </c>
      <c r="AC95" s="28">
        <f>AB95*O95</f>
        <v>73352</v>
      </c>
      <c r="AD95" s="28">
        <f t="shared" si="41"/>
        <v>13753.5</v>
      </c>
      <c r="AE95" s="38" t="s">
        <v>183</v>
      </c>
      <c r="AF95" s="3"/>
      <c r="AG95" s="14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32" x14ac:dyDescent="0.2">
      <c r="A96" s="3"/>
      <c r="B96" s="3" t="s">
        <v>168</v>
      </c>
      <c r="C96" s="3"/>
      <c r="D96" s="3" t="s">
        <v>173</v>
      </c>
      <c r="E96" s="3" t="s">
        <v>12</v>
      </c>
      <c r="F96" s="3" t="s">
        <v>116</v>
      </c>
      <c r="G96" s="3" t="s">
        <v>109</v>
      </c>
      <c r="H96" s="60">
        <v>45808</v>
      </c>
      <c r="I96" s="60">
        <f t="shared" si="40"/>
        <v>45868</v>
      </c>
      <c r="J96" s="62">
        <f t="shared" ca="1" si="35"/>
        <v>-260</v>
      </c>
      <c r="K96" s="37"/>
      <c r="L96" s="27" t="s">
        <v>119</v>
      </c>
      <c r="M96" s="27" t="s">
        <v>375</v>
      </c>
      <c r="N96" s="27" t="s">
        <v>180</v>
      </c>
      <c r="O96" s="27">
        <v>89.688000000000002</v>
      </c>
      <c r="P96" s="20" t="s">
        <v>15</v>
      </c>
      <c r="Q96" s="27" t="s">
        <v>99</v>
      </c>
      <c r="R96" s="28">
        <v>650</v>
      </c>
      <c r="S96" s="28">
        <v>0</v>
      </c>
      <c r="T96" s="28">
        <v>0</v>
      </c>
      <c r="U96" s="28"/>
      <c r="V96" s="28">
        <f>SUM(R96:T96)</f>
        <v>650</v>
      </c>
      <c r="W96" s="28">
        <f>O96*V96</f>
        <v>58297.200000000004</v>
      </c>
      <c r="X96" s="28">
        <v>800</v>
      </c>
      <c r="Y96" s="28">
        <v>0</v>
      </c>
      <c r="Z96" s="28">
        <v>0</v>
      </c>
      <c r="AA96" s="28"/>
      <c r="AB96" s="28">
        <v>800</v>
      </c>
      <c r="AC96" s="28">
        <f>AB96*O96</f>
        <v>71750.400000000009</v>
      </c>
      <c r="AD96" s="28">
        <f t="shared" si="41"/>
        <v>13453.200000000004</v>
      </c>
      <c r="AE96" s="38" t="s">
        <v>183</v>
      </c>
      <c r="AF96" s="3"/>
      <c r="AG96" s="14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32" x14ac:dyDescent="0.2">
      <c r="A97" s="3"/>
      <c r="B97" s="3" t="s">
        <v>168</v>
      </c>
      <c r="C97" s="3"/>
      <c r="D97" s="3" t="s">
        <v>174</v>
      </c>
      <c r="E97" s="3" t="s">
        <v>12</v>
      </c>
      <c r="F97" s="3" t="s">
        <v>117</v>
      </c>
      <c r="G97" s="3" t="s">
        <v>109</v>
      </c>
      <c r="H97" s="60">
        <v>45814</v>
      </c>
      <c r="I97" s="60">
        <f t="shared" si="40"/>
        <v>45874</v>
      </c>
      <c r="J97" s="62">
        <f t="shared" ca="1" si="35"/>
        <v>-254</v>
      </c>
      <c r="K97" s="37"/>
      <c r="L97" s="27" t="s">
        <v>123</v>
      </c>
      <c r="M97" s="27" t="s">
        <v>375</v>
      </c>
      <c r="N97" s="27" t="s">
        <v>184</v>
      </c>
      <c r="O97" s="27">
        <v>89.956000000000003</v>
      </c>
      <c r="P97" s="20" t="s">
        <v>15</v>
      </c>
      <c r="Q97" s="27" t="s">
        <v>99</v>
      </c>
      <c r="R97" s="28">
        <v>650</v>
      </c>
      <c r="S97" s="28">
        <v>0</v>
      </c>
      <c r="T97" s="28">
        <v>0</v>
      </c>
      <c r="U97" s="28"/>
      <c r="V97" s="28">
        <f>SUM(R97:T97)</f>
        <v>650</v>
      </c>
      <c r="W97" s="28">
        <f>O97*V97</f>
        <v>58471.4</v>
      </c>
      <c r="X97" s="28">
        <v>800</v>
      </c>
      <c r="Y97" s="28">
        <v>0</v>
      </c>
      <c r="Z97" s="28">
        <v>0</v>
      </c>
      <c r="AA97" s="28"/>
      <c r="AB97" s="28">
        <v>800</v>
      </c>
      <c r="AC97" s="28">
        <f>AB97*O97</f>
        <v>71964.800000000003</v>
      </c>
      <c r="AD97" s="28">
        <f t="shared" si="41"/>
        <v>13493.400000000001</v>
      </c>
      <c r="AE97" s="38" t="s">
        <v>183</v>
      </c>
      <c r="AF97" s="3"/>
      <c r="AG97" s="14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20" x14ac:dyDescent="0.25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24" t="s">
        <v>17</v>
      </c>
      <c r="M98" s="24"/>
      <c r="N98" s="24"/>
      <c r="O98" s="24">
        <f>+SUM(O92:O97)</f>
        <v>548.35299999999995</v>
      </c>
      <c r="P98" s="24"/>
      <c r="Q98" s="24"/>
      <c r="R98" s="24"/>
      <c r="S98" s="24"/>
      <c r="T98" s="24"/>
      <c r="U98" s="24"/>
      <c r="V98" s="24"/>
      <c r="W98" s="25">
        <f>+SUM(W92:W97)</f>
        <v>356429.45</v>
      </c>
      <c r="X98" s="24"/>
      <c r="Y98" s="24"/>
      <c r="Z98" s="24"/>
      <c r="AA98" s="24"/>
      <c r="AB98" s="24"/>
      <c r="AC98" s="25">
        <f>+SUM(AC92:AC97)</f>
        <v>438682.4</v>
      </c>
      <c r="AD98" s="25">
        <f>+SUM(AD92:AD97)</f>
        <v>82252.950000000012</v>
      </c>
    </row>
    <row r="99" spans="1:44" ht="32" x14ac:dyDescent="0.2">
      <c r="A99" s="3"/>
      <c r="B99" s="3" t="s">
        <v>197</v>
      </c>
      <c r="C99" s="3"/>
      <c r="D99" s="3" t="s">
        <v>205</v>
      </c>
      <c r="E99" s="3" t="s">
        <v>12</v>
      </c>
      <c r="F99" s="3" t="s">
        <v>77</v>
      </c>
      <c r="G99" s="3" t="s">
        <v>14</v>
      </c>
      <c r="H99" s="60" t="s">
        <v>68</v>
      </c>
      <c r="I99" s="60"/>
      <c r="J99" s="62"/>
      <c r="K99" s="37"/>
      <c r="L99" s="27" t="s">
        <v>377</v>
      </c>
      <c r="M99" s="27" t="s">
        <v>378</v>
      </c>
      <c r="N99" s="27"/>
      <c r="O99" s="27">
        <v>502.01600000000002</v>
      </c>
      <c r="P99" s="20" t="s">
        <v>15</v>
      </c>
      <c r="Q99" s="27" t="s">
        <v>16</v>
      </c>
      <c r="R99" s="42">
        <v>616</v>
      </c>
      <c r="S99" s="28">
        <v>1</v>
      </c>
      <c r="T99" s="28">
        <v>-30</v>
      </c>
      <c r="U99" s="28"/>
      <c r="V99" s="28">
        <f>R99+T99</f>
        <v>586</v>
      </c>
      <c r="W99" s="28">
        <f>O99*V99</f>
        <v>294181.37599999999</v>
      </c>
      <c r="X99" s="28">
        <v>710</v>
      </c>
      <c r="Y99" s="28">
        <v>0</v>
      </c>
      <c r="Z99" s="28">
        <v>0</v>
      </c>
      <c r="AA99" s="28"/>
      <c r="AB99" s="28">
        <v>710</v>
      </c>
      <c r="AC99" s="28">
        <f>AB99*O99</f>
        <v>356431.35999999999</v>
      </c>
      <c r="AD99" s="28">
        <f t="shared" ref="AD99:AD100" si="42">AC99-W99</f>
        <v>62249.983999999997</v>
      </c>
      <c r="AE99" s="38" t="s">
        <v>215</v>
      </c>
      <c r="AF99" s="17"/>
    </row>
    <row r="100" spans="1:44" ht="32" x14ac:dyDescent="0.2">
      <c r="A100" s="3"/>
      <c r="B100" s="3" t="s">
        <v>197</v>
      </c>
      <c r="C100" s="3"/>
      <c r="D100" s="3" t="s">
        <v>206</v>
      </c>
      <c r="E100" s="3" t="s">
        <v>12</v>
      </c>
      <c r="F100" s="3" t="s">
        <v>79</v>
      </c>
      <c r="G100" s="3" t="s">
        <v>14</v>
      </c>
      <c r="H100" s="60" t="s">
        <v>68</v>
      </c>
      <c r="I100" s="60"/>
      <c r="J100" s="62"/>
      <c r="K100" s="37"/>
      <c r="L100" s="27" t="s">
        <v>377</v>
      </c>
      <c r="M100" s="27" t="s">
        <v>378</v>
      </c>
      <c r="N100" s="27"/>
      <c r="O100" s="27">
        <v>500.05500000000001</v>
      </c>
      <c r="P100" s="20" t="s">
        <v>15</v>
      </c>
      <c r="Q100" s="27" t="s">
        <v>16</v>
      </c>
      <c r="R100" s="42">
        <v>616</v>
      </c>
      <c r="S100" s="28">
        <v>0</v>
      </c>
      <c r="T100" s="28">
        <v>-30</v>
      </c>
      <c r="U100" s="28"/>
      <c r="V100" s="28">
        <f>R100+T100</f>
        <v>586</v>
      </c>
      <c r="W100" s="28">
        <f>O100*V100</f>
        <v>293032.23</v>
      </c>
      <c r="X100" s="28">
        <v>710</v>
      </c>
      <c r="Y100" s="28">
        <v>0</v>
      </c>
      <c r="Z100" s="28">
        <v>0</v>
      </c>
      <c r="AA100" s="28"/>
      <c r="AB100" s="28">
        <v>710</v>
      </c>
      <c r="AC100" s="28">
        <f>AB100*O100</f>
        <v>355039.05</v>
      </c>
      <c r="AD100" s="28">
        <f t="shared" si="42"/>
        <v>62006.820000000007</v>
      </c>
      <c r="AE100" s="38" t="s">
        <v>215</v>
      </c>
      <c r="AF100" s="17"/>
    </row>
    <row r="101" spans="1:44" ht="20" x14ac:dyDescent="0.25">
      <c r="A101" s="6"/>
      <c r="B101" s="6"/>
      <c r="C101" s="7"/>
      <c r="D101" s="7"/>
      <c r="E101" s="7"/>
      <c r="F101" s="7"/>
      <c r="G101" s="7"/>
      <c r="H101" s="7"/>
      <c r="I101" s="60"/>
      <c r="J101" s="62"/>
      <c r="K101" s="7"/>
      <c r="L101" s="24" t="s">
        <v>17</v>
      </c>
      <c r="M101" s="24"/>
      <c r="N101" s="24"/>
      <c r="O101" s="24">
        <f>+SUM(O99:O100)</f>
        <v>1002.071</v>
      </c>
      <c r="P101" s="8"/>
      <c r="Q101" s="24"/>
      <c r="R101" s="24"/>
      <c r="S101" s="24"/>
      <c r="T101" s="24"/>
      <c r="U101" s="24"/>
      <c r="V101" s="24"/>
      <c r="W101" s="25">
        <f>+SUM(W99:W100)</f>
        <v>587213.60599999991</v>
      </c>
      <c r="X101" s="24"/>
      <c r="Y101" s="24"/>
      <c r="Z101" s="24"/>
      <c r="AA101" s="24"/>
      <c r="AB101" s="24"/>
      <c r="AC101" s="25">
        <f>+SUM(AC99:AC100)</f>
        <v>711470.40999999992</v>
      </c>
      <c r="AD101" s="25">
        <f>+SUM(AD99:AD100)</f>
        <v>124256.804</v>
      </c>
    </row>
    <row r="102" spans="1:44" ht="32" x14ac:dyDescent="0.2">
      <c r="A102" s="3"/>
      <c r="B102" s="3" t="s">
        <v>192</v>
      </c>
      <c r="C102" s="3"/>
      <c r="D102" s="3" t="s">
        <v>193</v>
      </c>
      <c r="E102" s="3" t="s">
        <v>12</v>
      </c>
      <c r="F102" s="3" t="s">
        <v>13</v>
      </c>
      <c r="G102" s="3" t="s">
        <v>109</v>
      </c>
      <c r="H102" s="60">
        <v>45859</v>
      </c>
      <c r="I102" s="60">
        <f>H102+60</f>
        <v>45919</v>
      </c>
      <c r="J102" s="62"/>
      <c r="K102" s="37"/>
      <c r="L102" s="27" t="s">
        <v>123</v>
      </c>
      <c r="M102" s="27" t="s">
        <v>375</v>
      </c>
      <c r="N102" s="27"/>
      <c r="O102" s="27">
        <v>95.99</v>
      </c>
      <c r="P102" s="20" t="s">
        <v>15</v>
      </c>
      <c r="Q102" s="27" t="s">
        <v>99</v>
      </c>
      <c r="R102" s="28">
        <v>590</v>
      </c>
      <c r="S102" s="28">
        <v>0</v>
      </c>
      <c r="T102" s="28">
        <v>0</v>
      </c>
      <c r="U102" s="28"/>
      <c r="V102" s="28">
        <f>SUM(R102:T102)</f>
        <v>590</v>
      </c>
      <c r="W102" s="28">
        <f>O102*V102</f>
        <v>56634.1</v>
      </c>
      <c r="X102" s="28">
        <v>780</v>
      </c>
      <c r="Y102" s="28">
        <v>0</v>
      </c>
      <c r="Z102" s="28">
        <v>0</v>
      </c>
      <c r="AA102" s="28"/>
      <c r="AB102" s="28">
        <f>SUM(X102:Z102)</f>
        <v>780</v>
      </c>
      <c r="AC102" s="28">
        <f>AB102*O102</f>
        <v>74872.2</v>
      </c>
      <c r="AD102" s="28">
        <f>AC102-W102</f>
        <v>18238.099999999999</v>
      </c>
      <c r="AE102" s="38" t="s">
        <v>198</v>
      </c>
      <c r="AF102" s="3"/>
      <c r="AG102" s="14"/>
      <c r="AH102" s="17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32" x14ac:dyDescent="0.2">
      <c r="A103" s="3"/>
      <c r="B103" s="3" t="s">
        <v>192</v>
      </c>
      <c r="C103" s="3"/>
      <c r="D103" s="3" t="s">
        <v>200</v>
      </c>
      <c r="E103" s="3" t="s">
        <v>12</v>
      </c>
      <c r="F103" s="3" t="s">
        <v>77</v>
      </c>
      <c r="G103" s="3" t="s">
        <v>109</v>
      </c>
      <c r="H103" s="60">
        <v>45859</v>
      </c>
      <c r="I103" s="60">
        <f t="shared" ref="I103:I108" si="43">H103+60</f>
        <v>45919</v>
      </c>
      <c r="J103" s="62"/>
      <c r="K103" s="37"/>
      <c r="L103" s="27" t="s">
        <v>123</v>
      </c>
      <c r="M103" s="27" t="s">
        <v>375</v>
      </c>
      <c r="N103" s="27"/>
      <c r="O103" s="27">
        <v>94.266999999999996</v>
      </c>
      <c r="P103" s="20" t="s">
        <v>15</v>
      </c>
      <c r="Q103" s="27" t="s">
        <v>99</v>
      </c>
      <c r="R103" s="28">
        <v>590</v>
      </c>
      <c r="S103" s="28">
        <v>0</v>
      </c>
      <c r="T103" s="28">
        <v>0</v>
      </c>
      <c r="U103" s="28"/>
      <c r="V103" s="28">
        <f>SUM(R103:T103)</f>
        <v>590</v>
      </c>
      <c r="W103" s="28">
        <f>O103*V103</f>
        <v>55617.53</v>
      </c>
      <c r="X103" s="28">
        <v>780</v>
      </c>
      <c r="Y103" s="28">
        <v>0</v>
      </c>
      <c r="Z103" s="28">
        <v>0</v>
      </c>
      <c r="AA103" s="28"/>
      <c r="AB103" s="28">
        <f t="shared" ref="AB103:AB107" si="44">SUM(X103:Z103)</f>
        <v>780</v>
      </c>
      <c r="AC103" s="28">
        <f>AB103*O103</f>
        <v>73528.259999999995</v>
      </c>
      <c r="AD103" s="28">
        <f t="shared" ref="AD103:AD107" si="45">AC103-W103</f>
        <v>17910.729999999996</v>
      </c>
      <c r="AE103" s="38" t="s">
        <v>198</v>
      </c>
      <c r="AF103" s="3"/>
      <c r="AG103" s="14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32" x14ac:dyDescent="0.2">
      <c r="A104" s="3"/>
      <c r="B104" s="3" t="s">
        <v>192</v>
      </c>
      <c r="C104" s="3"/>
      <c r="D104" s="3" t="s">
        <v>201</v>
      </c>
      <c r="E104" s="3" t="s">
        <v>12</v>
      </c>
      <c r="F104" s="3" t="s">
        <v>79</v>
      </c>
      <c r="G104" s="3" t="s">
        <v>109</v>
      </c>
      <c r="H104" s="60">
        <v>45859</v>
      </c>
      <c r="I104" s="60">
        <f t="shared" si="43"/>
        <v>45919</v>
      </c>
      <c r="J104" s="62"/>
      <c r="K104" s="37"/>
      <c r="L104" s="27" t="s">
        <v>119</v>
      </c>
      <c r="M104" s="27" t="s">
        <v>375</v>
      </c>
      <c r="N104" s="27"/>
      <c r="O104" s="27">
        <v>92.430999999999997</v>
      </c>
      <c r="P104" s="20" t="s">
        <v>15</v>
      </c>
      <c r="Q104" s="27" t="s">
        <v>99</v>
      </c>
      <c r="R104" s="28">
        <v>590</v>
      </c>
      <c r="S104" s="28">
        <v>0</v>
      </c>
      <c r="T104" s="28">
        <v>0</v>
      </c>
      <c r="U104" s="28"/>
      <c r="V104" s="28">
        <f>SUM(R104:T104)</f>
        <v>590</v>
      </c>
      <c r="W104" s="28">
        <f>O104*V104</f>
        <v>54534.29</v>
      </c>
      <c r="X104" s="28">
        <v>780</v>
      </c>
      <c r="Y104" s="28">
        <v>0</v>
      </c>
      <c r="Z104" s="28">
        <v>0</v>
      </c>
      <c r="AA104" s="28"/>
      <c r="AB104" s="28">
        <f t="shared" si="44"/>
        <v>780</v>
      </c>
      <c r="AC104" s="28">
        <f>AB104*O104</f>
        <v>72096.179999999993</v>
      </c>
      <c r="AD104" s="28">
        <f t="shared" si="45"/>
        <v>17561.889999999992</v>
      </c>
      <c r="AE104" s="38" t="s">
        <v>198</v>
      </c>
      <c r="AF104" s="3"/>
      <c r="AG104" s="14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32" x14ac:dyDescent="0.2">
      <c r="A105" s="3"/>
      <c r="B105" s="3" t="s">
        <v>192</v>
      </c>
      <c r="C105" s="3"/>
      <c r="D105" s="3" t="s">
        <v>202</v>
      </c>
      <c r="E105" s="3" t="s">
        <v>12</v>
      </c>
      <c r="F105" s="3" t="s">
        <v>115</v>
      </c>
      <c r="G105" s="3" t="s">
        <v>109</v>
      </c>
      <c r="H105" s="60">
        <v>45862</v>
      </c>
      <c r="I105" s="60">
        <f t="shared" si="43"/>
        <v>45922</v>
      </c>
      <c r="J105" s="62"/>
      <c r="K105" s="37"/>
      <c r="L105" s="27" t="s">
        <v>119</v>
      </c>
      <c r="M105" s="27" t="s">
        <v>375</v>
      </c>
      <c r="N105" s="27"/>
      <c r="O105" s="27">
        <v>91.540999999999997</v>
      </c>
      <c r="P105" s="20" t="s">
        <v>15</v>
      </c>
      <c r="Q105" s="27" t="s">
        <v>99</v>
      </c>
      <c r="R105" s="28">
        <v>590</v>
      </c>
      <c r="S105" s="28">
        <v>0</v>
      </c>
      <c r="T105" s="28">
        <v>0</v>
      </c>
      <c r="U105" s="28"/>
      <c r="V105" s="28">
        <f>SUM(R105:T105)</f>
        <v>590</v>
      </c>
      <c r="W105" s="28">
        <f>O105*V105</f>
        <v>54009.189999999995</v>
      </c>
      <c r="X105" s="28">
        <v>780</v>
      </c>
      <c r="Y105" s="28">
        <v>0</v>
      </c>
      <c r="Z105" s="28">
        <v>0</v>
      </c>
      <c r="AA105" s="28"/>
      <c r="AB105" s="28">
        <f t="shared" si="44"/>
        <v>780</v>
      </c>
      <c r="AC105" s="28">
        <f>AB105*O105</f>
        <v>71401.98</v>
      </c>
      <c r="AD105" s="28">
        <f t="shared" si="45"/>
        <v>17392.79</v>
      </c>
      <c r="AE105" s="38" t="s">
        <v>207</v>
      </c>
      <c r="AF105" s="3"/>
      <c r="AG105" s="14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32" x14ac:dyDescent="0.2">
      <c r="A106" s="3"/>
      <c r="B106" s="3" t="s">
        <v>192</v>
      </c>
      <c r="C106" s="3"/>
      <c r="D106" s="3" t="s">
        <v>203</v>
      </c>
      <c r="E106" s="3" t="s">
        <v>12</v>
      </c>
      <c r="F106" s="3" t="s">
        <v>116</v>
      </c>
      <c r="G106" s="3" t="s">
        <v>109</v>
      </c>
      <c r="H106" s="60">
        <v>45862</v>
      </c>
      <c r="I106" s="60">
        <f t="shared" si="43"/>
        <v>45922</v>
      </c>
      <c r="J106" s="62"/>
      <c r="K106" s="37"/>
      <c r="L106" s="27" t="s">
        <v>119</v>
      </c>
      <c r="M106" s="27" t="s">
        <v>375</v>
      </c>
      <c r="N106" s="27"/>
      <c r="O106" s="63">
        <v>91.376999999999995</v>
      </c>
      <c r="P106" s="20" t="s">
        <v>15</v>
      </c>
      <c r="Q106" s="27" t="s">
        <v>99</v>
      </c>
      <c r="R106" s="28">
        <v>590</v>
      </c>
      <c r="S106" s="28">
        <v>0</v>
      </c>
      <c r="T106" s="28">
        <v>0</v>
      </c>
      <c r="U106" s="28"/>
      <c r="V106" s="28">
        <f>SUM(R106:T106)</f>
        <v>590</v>
      </c>
      <c r="W106" s="28">
        <f>O106*V106</f>
        <v>53912.43</v>
      </c>
      <c r="X106" s="28">
        <v>780</v>
      </c>
      <c r="Y106" s="28">
        <v>0</v>
      </c>
      <c r="Z106" s="28">
        <v>0</v>
      </c>
      <c r="AA106" s="28"/>
      <c r="AB106" s="28">
        <f t="shared" si="44"/>
        <v>780</v>
      </c>
      <c r="AC106" s="28">
        <f>AB106*O106</f>
        <v>71274.06</v>
      </c>
      <c r="AD106" s="28">
        <f t="shared" si="45"/>
        <v>17361.629999999997</v>
      </c>
      <c r="AE106" s="38" t="s">
        <v>207</v>
      </c>
      <c r="AF106" s="3"/>
      <c r="AG106" s="14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32" x14ac:dyDescent="0.2">
      <c r="A107" s="3"/>
      <c r="B107" s="3" t="s">
        <v>192</v>
      </c>
      <c r="C107" s="3"/>
      <c r="D107" s="3" t="s">
        <v>204</v>
      </c>
      <c r="E107" s="3" t="s">
        <v>12</v>
      </c>
      <c r="F107" s="3" t="s">
        <v>117</v>
      </c>
      <c r="G107" s="3" t="s">
        <v>109</v>
      </c>
      <c r="H107" s="60">
        <v>45868</v>
      </c>
      <c r="I107" s="60">
        <f t="shared" si="43"/>
        <v>45928</v>
      </c>
      <c r="J107" s="62"/>
      <c r="K107" s="37"/>
      <c r="L107" s="27" t="s">
        <v>199</v>
      </c>
      <c r="M107" s="27" t="s">
        <v>375</v>
      </c>
      <c r="N107" s="27"/>
      <c r="O107" s="63">
        <v>91.522999999999996</v>
      </c>
      <c r="P107" s="20" t="s">
        <v>15</v>
      </c>
      <c r="Q107" s="27" t="s">
        <v>99</v>
      </c>
      <c r="R107" s="28">
        <v>590</v>
      </c>
      <c r="S107" s="28">
        <v>0</v>
      </c>
      <c r="T107" s="28">
        <v>0</v>
      </c>
      <c r="U107" s="28"/>
      <c r="V107" s="28">
        <f>SUM(R107:T107)</f>
        <v>590</v>
      </c>
      <c r="W107" s="28">
        <f>O107*V107</f>
        <v>53998.57</v>
      </c>
      <c r="X107" s="28">
        <v>780</v>
      </c>
      <c r="Y107" s="28">
        <v>0</v>
      </c>
      <c r="Z107" s="28">
        <v>0</v>
      </c>
      <c r="AA107" s="28"/>
      <c r="AB107" s="28">
        <f t="shared" si="44"/>
        <v>780</v>
      </c>
      <c r="AC107" s="28">
        <f>AB107*O107</f>
        <v>71387.94</v>
      </c>
      <c r="AD107" s="28">
        <f t="shared" si="45"/>
        <v>17389.370000000003</v>
      </c>
      <c r="AE107" s="38" t="s">
        <v>207</v>
      </c>
      <c r="AF107" s="3"/>
      <c r="AG107" s="14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32" x14ac:dyDescent="0.2">
      <c r="A108" s="3"/>
      <c r="B108" s="3" t="s">
        <v>192</v>
      </c>
      <c r="C108" s="3"/>
      <c r="D108" s="3" t="s">
        <v>214</v>
      </c>
      <c r="E108" s="3" t="s">
        <v>12</v>
      </c>
      <c r="F108" s="3" t="s">
        <v>117</v>
      </c>
      <c r="G108" s="3" t="s">
        <v>109</v>
      </c>
      <c r="H108" s="60">
        <v>45869</v>
      </c>
      <c r="I108" s="60">
        <f t="shared" si="43"/>
        <v>45929</v>
      </c>
      <c r="J108" s="62"/>
      <c r="K108" s="37"/>
      <c r="L108" s="27" t="s">
        <v>118</v>
      </c>
      <c r="M108" s="27" t="s">
        <v>375</v>
      </c>
      <c r="N108" s="27"/>
      <c r="O108" s="27">
        <v>92.245999999999995</v>
      </c>
      <c r="P108" s="20" t="s">
        <v>15</v>
      </c>
      <c r="Q108" s="27" t="s">
        <v>99</v>
      </c>
      <c r="R108" s="28">
        <v>590</v>
      </c>
      <c r="S108" s="28">
        <v>0</v>
      </c>
      <c r="T108" s="28">
        <v>0</v>
      </c>
      <c r="U108" s="28"/>
      <c r="V108" s="28">
        <f>SUM(R108:T108)</f>
        <v>590</v>
      </c>
      <c r="W108" s="28">
        <f>O108*V108</f>
        <v>54425.14</v>
      </c>
      <c r="X108" s="28">
        <v>780</v>
      </c>
      <c r="Y108" s="28">
        <v>0</v>
      </c>
      <c r="Z108" s="28">
        <v>0</v>
      </c>
      <c r="AA108" s="28"/>
      <c r="AB108" s="28">
        <f t="shared" ref="AB108" si="46">SUM(X108:Z108)</f>
        <v>780</v>
      </c>
      <c r="AC108" s="28">
        <f>AB108*O108</f>
        <v>71951.87999999999</v>
      </c>
      <c r="AD108" s="28">
        <f t="shared" ref="AD108" si="47">AC108-W108</f>
        <v>17526.739999999991</v>
      </c>
      <c r="AE108" s="38" t="s">
        <v>207</v>
      </c>
      <c r="AF108" s="3"/>
      <c r="AG108" s="14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20" x14ac:dyDescent="0.25">
      <c r="A109" s="6"/>
      <c r="B109" s="6"/>
      <c r="C109" s="7"/>
      <c r="D109" s="7"/>
      <c r="E109" s="7"/>
      <c r="F109" s="7"/>
      <c r="G109" s="7"/>
      <c r="H109" s="7"/>
      <c r="I109" s="60"/>
      <c r="J109" s="62"/>
      <c r="K109" s="7"/>
      <c r="L109" s="24" t="s">
        <v>17</v>
      </c>
      <c r="M109" s="24"/>
      <c r="N109" s="24"/>
      <c r="O109" s="24">
        <f>+SUM(O102:O108)</f>
        <v>649.375</v>
      </c>
      <c r="P109" s="8"/>
      <c r="Q109" s="24"/>
      <c r="R109" s="24"/>
      <c r="S109" s="24"/>
      <c r="T109" s="24"/>
      <c r="U109" s="24"/>
      <c r="V109" s="24"/>
      <c r="W109" s="25">
        <f>+SUM(W102:W108)</f>
        <v>383131.25000000006</v>
      </c>
      <c r="X109" s="24"/>
      <c r="Y109" s="24"/>
      <c r="Z109" s="24"/>
      <c r="AA109" s="24"/>
      <c r="AB109" s="24"/>
      <c r="AC109" s="25">
        <f>+SUM(AC102:AC108)</f>
        <v>506512.5</v>
      </c>
      <c r="AD109" s="25">
        <f>+SUM(AD102:AD108)</f>
        <v>123381.24999999997</v>
      </c>
    </row>
    <row r="110" spans="1:44" ht="32" x14ac:dyDescent="0.2">
      <c r="A110" s="3"/>
      <c r="B110" s="3" t="s">
        <v>216</v>
      </c>
      <c r="C110" s="3"/>
      <c r="D110" s="3" t="s">
        <v>217</v>
      </c>
      <c r="E110" s="3" t="s">
        <v>12</v>
      </c>
      <c r="F110" s="3" t="s">
        <v>77</v>
      </c>
      <c r="G110" s="3" t="s">
        <v>109</v>
      </c>
      <c r="H110" s="60">
        <v>45891</v>
      </c>
      <c r="I110" s="60">
        <f t="shared" ref="I110:I117" si="48">H110+60</f>
        <v>45951</v>
      </c>
      <c r="J110" s="62"/>
      <c r="K110" s="37"/>
      <c r="L110" s="27" t="s">
        <v>123</v>
      </c>
      <c r="M110" s="27" t="s">
        <v>375</v>
      </c>
      <c r="N110" s="27"/>
      <c r="O110" s="27">
        <v>90.98</v>
      </c>
      <c r="P110" s="20" t="s">
        <v>15</v>
      </c>
      <c r="Q110" s="27" t="s">
        <v>99</v>
      </c>
      <c r="R110" s="28">
        <v>590</v>
      </c>
      <c r="S110" s="28">
        <v>0</v>
      </c>
      <c r="T110" s="28">
        <v>0</v>
      </c>
      <c r="U110" s="28"/>
      <c r="V110" s="28">
        <v>570</v>
      </c>
      <c r="W110" s="28">
        <f>O110*V110</f>
        <v>51858.600000000006</v>
      </c>
      <c r="X110" s="28">
        <v>770</v>
      </c>
      <c r="Y110" s="28">
        <v>0</v>
      </c>
      <c r="Z110" s="28">
        <v>0</v>
      </c>
      <c r="AA110" s="28"/>
      <c r="AB110" s="28">
        <f t="shared" ref="AB110:AB115" si="49">SUM(X110:Z110)</f>
        <v>770</v>
      </c>
      <c r="AC110" s="28">
        <f>AB110*O110</f>
        <v>70054.600000000006</v>
      </c>
      <c r="AD110" s="28">
        <f t="shared" ref="AD110:AD115" si="50">AC110-W110</f>
        <v>18196</v>
      </c>
      <c r="AE110" s="38" t="s">
        <v>233</v>
      </c>
      <c r="AF110" s="3"/>
      <c r="AG110" s="14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32" x14ac:dyDescent="0.2">
      <c r="A111" s="3"/>
      <c r="B111" s="3" t="s">
        <v>216</v>
      </c>
      <c r="C111" s="3"/>
      <c r="D111" s="3" t="s">
        <v>218</v>
      </c>
      <c r="E111" s="3" t="s">
        <v>12</v>
      </c>
      <c r="F111" s="3" t="s">
        <v>79</v>
      </c>
      <c r="G111" s="3" t="s">
        <v>109</v>
      </c>
      <c r="H111" s="60">
        <v>45894</v>
      </c>
      <c r="I111" s="60">
        <f t="shared" si="48"/>
        <v>45954</v>
      </c>
      <c r="J111" s="62"/>
      <c r="K111" s="37"/>
      <c r="L111" s="27" t="s">
        <v>123</v>
      </c>
      <c r="M111" s="27" t="s">
        <v>375</v>
      </c>
      <c r="N111" s="27"/>
      <c r="O111" s="27">
        <v>90.474000000000004</v>
      </c>
      <c r="P111" s="20" t="s">
        <v>15</v>
      </c>
      <c r="Q111" s="27" t="s">
        <v>99</v>
      </c>
      <c r="R111" s="28">
        <v>590</v>
      </c>
      <c r="S111" s="28">
        <v>0</v>
      </c>
      <c r="T111" s="28">
        <v>0</v>
      </c>
      <c r="U111" s="28"/>
      <c r="V111" s="28">
        <v>570</v>
      </c>
      <c r="W111" s="28">
        <f>O111*V111</f>
        <v>51570.18</v>
      </c>
      <c r="X111" s="28">
        <v>770</v>
      </c>
      <c r="Y111" s="28">
        <v>0</v>
      </c>
      <c r="Z111" s="28">
        <v>0</v>
      </c>
      <c r="AA111" s="28"/>
      <c r="AB111" s="28">
        <f t="shared" si="49"/>
        <v>770</v>
      </c>
      <c r="AC111" s="28">
        <f>AB111*O111</f>
        <v>69664.98</v>
      </c>
      <c r="AD111" s="28">
        <f t="shared" si="50"/>
        <v>18094.799999999996</v>
      </c>
      <c r="AE111" s="38" t="s">
        <v>233</v>
      </c>
      <c r="AF111" s="3"/>
      <c r="AG111" s="14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32" x14ac:dyDescent="0.2">
      <c r="A112" s="3"/>
      <c r="B112" s="3" t="s">
        <v>216</v>
      </c>
      <c r="C112" s="3"/>
      <c r="D112" s="3" t="s">
        <v>219</v>
      </c>
      <c r="E112" s="3" t="s">
        <v>12</v>
      </c>
      <c r="F112" s="3" t="s">
        <v>115</v>
      </c>
      <c r="G112" s="3" t="s">
        <v>109</v>
      </c>
      <c r="H112" s="60">
        <v>45894</v>
      </c>
      <c r="I112" s="60">
        <f t="shared" si="48"/>
        <v>45954</v>
      </c>
      <c r="J112" s="62"/>
      <c r="K112" s="37"/>
      <c r="L112" s="27" t="s">
        <v>119</v>
      </c>
      <c r="M112" s="27" t="s">
        <v>375</v>
      </c>
      <c r="N112" s="27"/>
      <c r="O112" s="27">
        <v>91.192999999999998</v>
      </c>
      <c r="P112" s="20" t="s">
        <v>15</v>
      </c>
      <c r="Q112" s="27" t="s">
        <v>99</v>
      </c>
      <c r="R112" s="28">
        <v>590</v>
      </c>
      <c r="S112" s="28">
        <v>0</v>
      </c>
      <c r="T112" s="28">
        <v>0</v>
      </c>
      <c r="U112" s="28"/>
      <c r="V112" s="28">
        <v>570</v>
      </c>
      <c r="W112" s="28">
        <f>O112*V112</f>
        <v>51980.01</v>
      </c>
      <c r="X112" s="28">
        <v>770</v>
      </c>
      <c r="Y112" s="28">
        <v>0</v>
      </c>
      <c r="Z112" s="28">
        <v>0</v>
      </c>
      <c r="AA112" s="28"/>
      <c r="AB112" s="28">
        <f t="shared" si="49"/>
        <v>770</v>
      </c>
      <c r="AC112" s="28">
        <f>AB112*O112</f>
        <v>70218.61</v>
      </c>
      <c r="AD112" s="28">
        <f t="shared" si="50"/>
        <v>18238.599999999999</v>
      </c>
      <c r="AE112" s="38" t="s">
        <v>233</v>
      </c>
      <c r="AF112" s="3"/>
      <c r="AG112" s="14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32" x14ac:dyDescent="0.2">
      <c r="A113" s="3"/>
      <c r="B113" s="3" t="s">
        <v>216</v>
      </c>
      <c r="C113" s="3"/>
      <c r="D113" s="3" t="s">
        <v>220</v>
      </c>
      <c r="E113" s="3" t="s">
        <v>12</v>
      </c>
      <c r="F113" s="3" t="s">
        <v>116</v>
      </c>
      <c r="G113" s="3" t="s">
        <v>109</v>
      </c>
      <c r="H113" s="60">
        <v>45894</v>
      </c>
      <c r="I113" s="60">
        <f t="shared" si="48"/>
        <v>45954</v>
      </c>
      <c r="J113" s="62"/>
      <c r="K113" s="37"/>
      <c r="L113" s="27" t="s">
        <v>119</v>
      </c>
      <c r="M113" s="27" t="s">
        <v>375</v>
      </c>
      <c r="N113" s="27"/>
      <c r="O113" s="27">
        <v>90.15</v>
      </c>
      <c r="P113" s="20" t="s">
        <v>15</v>
      </c>
      <c r="Q113" s="27" t="s">
        <v>99</v>
      </c>
      <c r="R113" s="28">
        <v>590</v>
      </c>
      <c r="S113" s="28">
        <v>0</v>
      </c>
      <c r="T113" s="28">
        <v>0</v>
      </c>
      <c r="U113" s="28"/>
      <c r="V113" s="28">
        <v>570</v>
      </c>
      <c r="W113" s="28">
        <f>O113*V113</f>
        <v>51385.5</v>
      </c>
      <c r="X113" s="28">
        <v>770</v>
      </c>
      <c r="Y113" s="28">
        <v>0</v>
      </c>
      <c r="Z113" s="28">
        <v>0</v>
      </c>
      <c r="AA113" s="28"/>
      <c r="AB113" s="28">
        <f t="shared" si="49"/>
        <v>770</v>
      </c>
      <c r="AC113" s="28">
        <f>AB113*O113</f>
        <v>69415.5</v>
      </c>
      <c r="AD113" s="28">
        <f t="shared" si="50"/>
        <v>18030</v>
      </c>
      <c r="AE113" s="38" t="s">
        <v>233</v>
      </c>
      <c r="AF113" s="3"/>
      <c r="AG113" s="14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32" x14ac:dyDescent="0.2">
      <c r="A114" s="3"/>
      <c r="B114" s="3" t="s">
        <v>216</v>
      </c>
      <c r="C114" s="3"/>
      <c r="D114" s="3" t="s">
        <v>221</v>
      </c>
      <c r="E114" s="3" t="s">
        <v>12</v>
      </c>
      <c r="F114" s="3" t="s">
        <v>117</v>
      </c>
      <c r="G114" s="3" t="s">
        <v>109</v>
      </c>
      <c r="H114" s="60">
        <v>45894</v>
      </c>
      <c r="I114" s="60">
        <f t="shared" si="48"/>
        <v>45954</v>
      </c>
      <c r="J114" s="62"/>
      <c r="K114" s="37"/>
      <c r="L114" s="27" t="s">
        <v>199</v>
      </c>
      <c r="M114" s="27" t="s">
        <v>375</v>
      </c>
      <c r="N114" s="27"/>
      <c r="O114" s="27">
        <v>93.085999999999999</v>
      </c>
      <c r="P114" s="20" t="s">
        <v>15</v>
      </c>
      <c r="Q114" s="27" t="s">
        <v>99</v>
      </c>
      <c r="R114" s="28">
        <v>590</v>
      </c>
      <c r="S114" s="28">
        <v>0</v>
      </c>
      <c r="T114" s="28">
        <v>0</v>
      </c>
      <c r="U114" s="28"/>
      <c r="V114" s="28">
        <v>570</v>
      </c>
      <c r="W114" s="28">
        <f>O114*V114</f>
        <v>53059.02</v>
      </c>
      <c r="X114" s="28">
        <v>770</v>
      </c>
      <c r="Y114" s="28">
        <v>0</v>
      </c>
      <c r="Z114" s="28">
        <v>0</v>
      </c>
      <c r="AA114" s="28"/>
      <c r="AB114" s="28">
        <f t="shared" si="49"/>
        <v>770</v>
      </c>
      <c r="AC114" s="28">
        <f>AB114*O114</f>
        <v>71676.22</v>
      </c>
      <c r="AD114" s="28">
        <f t="shared" si="50"/>
        <v>18617.200000000004</v>
      </c>
      <c r="AE114" s="38" t="s">
        <v>233</v>
      </c>
      <c r="AF114" s="3"/>
      <c r="AG114" s="14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32" x14ac:dyDescent="0.2">
      <c r="A115" s="3"/>
      <c r="B115" s="3" t="s">
        <v>216</v>
      </c>
      <c r="C115" s="3"/>
      <c r="D115" s="3" t="s">
        <v>222</v>
      </c>
      <c r="E115" s="3" t="s">
        <v>12</v>
      </c>
      <c r="F115" s="3" t="s">
        <v>117</v>
      </c>
      <c r="G115" s="3" t="s">
        <v>109</v>
      </c>
      <c r="H115" s="60">
        <v>45894</v>
      </c>
      <c r="I115" s="60">
        <f t="shared" si="48"/>
        <v>45954</v>
      </c>
      <c r="J115" s="62"/>
      <c r="K115" s="37"/>
      <c r="L115" s="27" t="s">
        <v>118</v>
      </c>
      <c r="M115" s="27" t="s">
        <v>375</v>
      </c>
      <c r="N115" s="27"/>
      <c r="O115" s="27">
        <v>92.352000000000004</v>
      </c>
      <c r="P115" s="20" t="s">
        <v>15</v>
      </c>
      <c r="Q115" s="27" t="s">
        <v>99</v>
      </c>
      <c r="R115" s="28">
        <v>590</v>
      </c>
      <c r="S115" s="28">
        <v>0</v>
      </c>
      <c r="T115" s="28">
        <v>0</v>
      </c>
      <c r="U115" s="28"/>
      <c r="V115" s="28">
        <v>570</v>
      </c>
      <c r="W115" s="28">
        <f>O115*V115</f>
        <v>52640.639999999999</v>
      </c>
      <c r="X115" s="28">
        <v>770</v>
      </c>
      <c r="Y115" s="28">
        <v>0</v>
      </c>
      <c r="Z115" s="28">
        <v>0</v>
      </c>
      <c r="AA115" s="28"/>
      <c r="AB115" s="28">
        <f t="shared" si="49"/>
        <v>770</v>
      </c>
      <c r="AC115" s="28">
        <f>AB115*O115</f>
        <v>71111.040000000008</v>
      </c>
      <c r="AD115" s="28">
        <f t="shared" si="50"/>
        <v>18470.400000000009</v>
      </c>
      <c r="AE115" s="38" t="s">
        <v>233</v>
      </c>
      <c r="AF115" s="3"/>
      <c r="AG115" s="14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20" x14ac:dyDescent="0.25">
      <c r="A116" s="6"/>
      <c r="B116" s="6"/>
      <c r="C116" s="7"/>
      <c r="D116" s="7"/>
      <c r="E116" s="7"/>
      <c r="F116" s="7"/>
      <c r="G116" s="7"/>
      <c r="H116" s="7"/>
      <c r="I116" s="60"/>
      <c r="J116" s="62"/>
      <c r="K116" s="7"/>
      <c r="L116" s="24" t="s">
        <v>17</v>
      </c>
      <c r="M116" s="24"/>
      <c r="N116" s="24"/>
      <c r="O116" s="24">
        <f>+SUM(O110:O115)</f>
        <v>548.23500000000001</v>
      </c>
      <c r="P116" s="8"/>
      <c r="Q116" s="24"/>
      <c r="R116" s="24"/>
      <c r="S116" s="24"/>
      <c r="T116" s="24"/>
      <c r="U116" s="24"/>
      <c r="V116" s="24"/>
      <c r="W116" s="25">
        <f>+SUM(W110:W115)</f>
        <v>312493.95</v>
      </c>
      <c r="X116" s="24"/>
      <c r="Y116" s="24"/>
      <c r="Z116" s="24"/>
      <c r="AA116" s="24"/>
      <c r="AB116" s="24"/>
      <c r="AC116" s="25">
        <f>+SUM(AC110:AC115)</f>
        <v>422140.95000000007</v>
      </c>
      <c r="AD116" s="25">
        <f>+SUM(AD110:AD115)</f>
        <v>109647.00000000001</v>
      </c>
    </row>
    <row r="117" spans="1:44" ht="32" x14ac:dyDescent="0.2">
      <c r="A117" s="3"/>
      <c r="B117" s="3" t="s">
        <v>224</v>
      </c>
      <c r="C117" s="3"/>
      <c r="D117" s="3" t="s">
        <v>225</v>
      </c>
      <c r="E117" s="3" t="s">
        <v>12</v>
      </c>
      <c r="F117" s="3" t="s">
        <v>117</v>
      </c>
      <c r="G117" s="81" t="s">
        <v>226</v>
      </c>
      <c r="H117" s="60">
        <v>45917</v>
      </c>
      <c r="I117" s="60">
        <f t="shared" si="48"/>
        <v>45977</v>
      </c>
      <c r="J117" s="62"/>
      <c r="K117" s="37"/>
      <c r="L117" s="27" t="s">
        <v>227</v>
      </c>
      <c r="M117" s="27" t="s">
        <v>376</v>
      </c>
      <c r="N117" s="27"/>
      <c r="O117" s="27">
        <v>93.68</v>
      </c>
      <c r="P117" s="20" t="s">
        <v>15</v>
      </c>
      <c r="Q117" s="27" t="s">
        <v>99</v>
      </c>
      <c r="R117" s="28">
        <v>570</v>
      </c>
      <c r="S117" s="28">
        <v>0</v>
      </c>
      <c r="T117" s="28">
        <v>0</v>
      </c>
      <c r="U117" s="28"/>
      <c r="V117" s="28">
        <v>570</v>
      </c>
      <c r="W117" s="28">
        <f>O117*V117</f>
        <v>53397.600000000006</v>
      </c>
      <c r="X117" s="28">
        <v>780</v>
      </c>
      <c r="Y117" s="28">
        <v>0</v>
      </c>
      <c r="Z117" s="28">
        <v>0</v>
      </c>
      <c r="AA117" s="28"/>
      <c r="AB117" s="28">
        <f t="shared" ref="AB117" si="51">SUM(X117:Z117)</f>
        <v>780</v>
      </c>
      <c r="AC117" s="28">
        <f>AB117*O117</f>
        <v>73070.400000000009</v>
      </c>
      <c r="AD117" s="28">
        <f t="shared" ref="AD117" si="52">AC117-W117</f>
        <v>19672.800000000003</v>
      </c>
      <c r="AE117" s="38" t="s">
        <v>232</v>
      </c>
      <c r="AF117" s="3"/>
      <c r="AG117" s="17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20" x14ac:dyDescent="0.25">
      <c r="A118" s="6"/>
      <c r="B118" s="6"/>
      <c r="C118" s="7"/>
      <c r="D118" s="7"/>
      <c r="E118" s="7"/>
      <c r="F118" s="7"/>
      <c r="G118" s="7"/>
      <c r="H118" s="7"/>
      <c r="I118" s="60"/>
      <c r="J118" s="62"/>
      <c r="K118" s="7"/>
      <c r="L118" s="24" t="s">
        <v>17</v>
      </c>
      <c r="M118" s="24"/>
      <c r="N118" s="24"/>
      <c r="O118" s="24">
        <f>+SUM(O117)</f>
        <v>93.68</v>
      </c>
      <c r="P118" s="8"/>
      <c r="Q118" s="24"/>
      <c r="R118" s="24"/>
      <c r="S118" s="24"/>
      <c r="T118" s="24"/>
      <c r="U118" s="24"/>
      <c r="V118" s="24"/>
      <c r="W118" s="25">
        <f>+SUM(W117)</f>
        <v>53397.600000000006</v>
      </c>
      <c r="X118" s="24"/>
      <c r="Y118" s="24"/>
      <c r="Z118" s="24"/>
      <c r="AA118" s="24"/>
      <c r="AB118" s="24"/>
      <c r="AC118" s="25">
        <f>+SUM(AC117)</f>
        <v>73070.400000000009</v>
      </c>
      <c r="AD118" s="25">
        <f>+SUM(AD117)</f>
        <v>19672.800000000003</v>
      </c>
      <c r="AI118" s="3"/>
    </row>
    <row r="119" spans="1:44" ht="32" x14ac:dyDescent="0.2">
      <c r="A119" s="3"/>
      <c r="B119" s="3" t="s">
        <v>230</v>
      </c>
      <c r="C119" s="3"/>
      <c r="D119" s="3" t="s">
        <v>286</v>
      </c>
      <c r="E119" s="3" t="s">
        <v>12</v>
      </c>
      <c r="F119" s="3" t="s">
        <v>13</v>
      </c>
      <c r="G119" s="3" t="s">
        <v>14</v>
      </c>
      <c r="H119" s="60">
        <v>45937</v>
      </c>
      <c r="I119" s="60">
        <f>H119+60</f>
        <v>45997</v>
      </c>
      <c r="J119" s="11"/>
      <c r="K119" s="37"/>
      <c r="L119" s="27" t="s">
        <v>377</v>
      </c>
      <c r="M119" s="27" t="s">
        <v>378</v>
      </c>
      <c r="N119" s="27"/>
      <c r="O119" s="27">
        <v>498.27</v>
      </c>
      <c r="P119" s="20" t="s">
        <v>15</v>
      </c>
      <c r="Q119" s="27" t="s">
        <v>16</v>
      </c>
      <c r="R119" s="28">
        <v>584</v>
      </c>
      <c r="S119" s="28">
        <v>0</v>
      </c>
      <c r="T119" s="28">
        <v>-40</v>
      </c>
      <c r="U119" s="28"/>
      <c r="V119" s="28">
        <f>SUM(R119:T119)</f>
        <v>544</v>
      </c>
      <c r="W119" s="28">
        <f>O119*V119</f>
        <v>271058.88</v>
      </c>
      <c r="X119" s="28">
        <v>620</v>
      </c>
      <c r="Y119" s="28">
        <v>0</v>
      </c>
      <c r="Z119" s="28">
        <v>0</v>
      </c>
      <c r="AA119" s="28"/>
      <c r="AB119" s="28">
        <f>SUM(X119:Z119)</f>
        <v>620</v>
      </c>
      <c r="AC119" s="28">
        <f>AB119*O119</f>
        <v>308927.39999999997</v>
      </c>
      <c r="AD119" s="28">
        <f>AC119-W119</f>
        <v>37868.51999999996</v>
      </c>
      <c r="AE119" s="33" t="s">
        <v>292</v>
      </c>
      <c r="AF119" s="14"/>
      <c r="AG119" s="14"/>
      <c r="AI119" s="89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32" x14ac:dyDescent="0.2">
      <c r="A120" s="3"/>
      <c r="B120" s="3" t="s">
        <v>230</v>
      </c>
      <c r="C120" s="3"/>
      <c r="D120" s="3" t="s">
        <v>287</v>
      </c>
      <c r="E120" s="3" t="s">
        <v>12</v>
      </c>
      <c r="F120" s="3" t="s">
        <v>13</v>
      </c>
      <c r="G120" s="3" t="s">
        <v>14</v>
      </c>
      <c r="H120" s="60">
        <v>45937</v>
      </c>
      <c r="I120" s="60">
        <f>H120+60</f>
        <v>45997</v>
      </c>
      <c r="J120" s="11"/>
      <c r="K120" s="37"/>
      <c r="L120" s="27" t="s">
        <v>377</v>
      </c>
      <c r="M120" s="27" t="s">
        <v>378</v>
      </c>
      <c r="N120" s="27"/>
      <c r="O120" s="27">
        <v>498.27</v>
      </c>
      <c r="P120" s="20" t="s">
        <v>15</v>
      </c>
      <c r="Q120" s="27" t="s">
        <v>16</v>
      </c>
      <c r="R120" s="28">
        <v>584</v>
      </c>
      <c r="S120" s="28">
        <v>0</v>
      </c>
      <c r="T120" s="28">
        <v>-40</v>
      </c>
      <c r="U120" s="28"/>
      <c r="V120" s="28">
        <f>SUM(R120:T120)</f>
        <v>544</v>
      </c>
      <c r="W120" s="28">
        <f>O120*V120</f>
        <v>271058.88</v>
      </c>
      <c r="X120" s="28">
        <v>620</v>
      </c>
      <c r="Y120" s="28">
        <v>0</v>
      </c>
      <c r="Z120" s="28">
        <v>0</v>
      </c>
      <c r="AA120" s="28"/>
      <c r="AB120" s="28">
        <f t="shared" ref="AB120:AB121" si="53">SUM(X120:Z120)</f>
        <v>620</v>
      </c>
      <c r="AC120" s="28">
        <f>AB120*O120</f>
        <v>308927.39999999997</v>
      </c>
      <c r="AD120" s="28">
        <f t="shared" ref="AD120:AD121" si="54">AC120-W120</f>
        <v>37868.51999999996</v>
      </c>
      <c r="AE120" s="33" t="s">
        <v>292</v>
      </c>
      <c r="AF120" s="15"/>
      <c r="AG120" s="17"/>
      <c r="AH120" s="17"/>
      <c r="AI120" s="90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32" x14ac:dyDescent="0.2">
      <c r="A121" s="3"/>
      <c r="B121" s="3" t="s">
        <v>230</v>
      </c>
      <c r="C121" s="3"/>
      <c r="D121" s="3" t="s">
        <v>288</v>
      </c>
      <c r="E121" s="3" t="s">
        <v>12</v>
      </c>
      <c r="F121" s="3" t="s">
        <v>13</v>
      </c>
      <c r="G121" s="3" t="s">
        <v>14</v>
      </c>
      <c r="H121" s="60">
        <v>45937</v>
      </c>
      <c r="I121" s="60">
        <f>H121+60</f>
        <v>45997</v>
      </c>
      <c r="J121" s="11"/>
      <c r="K121" s="37"/>
      <c r="L121" s="27" t="s">
        <v>377</v>
      </c>
      <c r="M121" s="27" t="s">
        <v>378</v>
      </c>
      <c r="N121" s="27"/>
      <c r="O121" s="27">
        <v>996.03099999999995</v>
      </c>
      <c r="P121" s="20" t="s">
        <v>15</v>
      </c>
      <c r="Q121" s="27" t="s">
        <v>16</v>
      </c>
      <c r="R121" s="28">
        <v>584</v>
      </c>
      <c r="S121" s="28">
        <v>0</v>
      </c>
      <c r="T121" s="28">
        <v>-40</v>
      </c>
      <c r="U121" s="28"/>
      <c r="V121" s="28">
        <f>SUM(R121:T121)</f>
        <v>544</v>
      </c>
      <c r="W121" s="28">
        <f>O121*V121</f>
        <v>541840.86399999994</v>
      </c>
      <c r="X121" s="28">
        <v>620</v>
      </c>
      <c r="Y121" s="28">
        <v>0</v>
      </c>
      <c r="Z121" s="28">
        <v>0</v>
      </c>
      <c r="AA121" s="28"/>
      <c r="AB121" s="28">
        <f t="shared" si="53"/>
        <v>620</v>
      </c>
      <c r="AC121" s="28">
        <f>AB121*O121</f>
        <v>617539.22</v>
      </c>
      <c r="AD121" s="28">
        <f t="shared" si="54"/>
        <v>75698.356000000029</v>
      </c>
      <c r="AE121" s="33" t="s">
        <v>293</v>
      </c>
      <c r="AF121" s="17"/>
      <c r="AH121" s="4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s="6" customFormat="1" ht="20" x14ac:dyDescent="0.25">
      <c r="C122" s="7"/>
      <c r="D122" s="7"/>
      <c r="E122" s="7"/>
      <c r="F122" s="7"/>
      <c r="G122" s="7"/>
      <c r="H122" s="7"/>
      <c r="I122" s="60"/>
      <c r="J122" s="7"/>
      <c r="K122" s="7"/>
      <c r="L122" s="24" t="s">
        <v>17</v>
      </c>
      <c r="M122" s="24"/>
      <c r="N122" s="24"/>
      <c r="O122" s="24">
        <f>+SUM(O119:O121)</f>
        <v>1992.5709999999999</v>
      </c>
      <c r="P122" s="8"/>
      <c r="Q122" s="24"/>
      <c r="R122" s="24"/>
      <c r="S122" s="24"/>
      <c r="T122" s="24"/>
      <c r="U122" s="24"/>
      <c r="V122" s="24">
        <f>SUM(R122:T122)</f>
        <v>0</v>
      </c>
      <c r="W122" s="25">
        <f>+SUM(W119:W121)</f>
        <v>1083958.6239999998</v>
      </c>
      <c r="X122" s="24"/>
      <c r="Y122" s="24"/>
      <c r="Z122" s="24"/>
      <c r="AA122" s="24"/>
      <c r="AB122" s="24"/>
      <c r="AC122" s="25">
        <f>+SUM(AC119:AC121)</f>
        <v>1235394.02</v>
      </c>
      <c r="AD122" s="25">
        <f>+SUM(AD119:AD121)</f>
        <v>151435.39599999995</v>
      </c>
      <c r="AF122"/>
      <c r="AG122"/>
      <c r="AH122"/>
    </row>
    <row r="123" spans="1:44" ht="32" x14ac:dyDescent="0.2">
      <c r="A123" s="3"/>
      <c r="B123" s="3" t="s">
        <v>231</v>
      </c>
      <c r="C123" s="3"/>
      <c r="D123" s="3" t="s">
        <v>248</v>
      </c>
      <c r="E123" s="3" t="s">
        <v>12</v>
      </c>
      <c r="F123" s="3" t="s">
        <v>77</v>
      </c>
      <c r="G123" s="3" t="s">
        <v>109</v>
      </c>
      <c r="H123" s="60">
        <v>45917</v>
      </c>
      <c r="I123" s="60">
        <f>H123+60</f>
        <v>45977</v>
      </c>
      <c r="J123" s="62"/>
      <c r="K123" s="37"/>
      <c r="L123" s="27" t="s">
        <v>239</v>
      </c>
      <c r="M123" s="27" t="s">
        <v>375</v>
      </c>
      <c r="N123" s="27"/>
      <c r="O123" s="27">
        <v>90.53</v>
      </c>
      <c r="P123" s="20" t="s">
        <v>15</v>
      </c>
      <c r="Q123" s="27" t="s">
        <v>99</v>
      </c>
      <c r="R123" s="28">
        <v>560</v>
      </c>
      <c r="S123" s="28">
        <v>0</v>
      </c>
      <c r="T123" s="28">
        <v>0</v>
      </c>
      <c r="U123" s="28"/>
      <c r="V123" s="28">
        <f>SUM(R123:T123)</f>
        <v>560</v>
      </c>
      <c r="W123" s="28">
        <f>O123*V123</f>
        <v>50696.800000000003</v>
      </c>
      <c r="X123" s="28">
        <v>755</v>
      </c>
      <c r="Y123" s="28">
        <v>0</v>
      </c>
      <c r="Z123" s="28">
        <v>0</v>
      </c>
      <c r="AA123" s="28"/>
      <c r="AB123" s="28">
        <f t="shared" ref="AB123:AB130" si="55">SUM(X123:Z123)</f>
        <v>755</v>
      </c>
      <c r="AC123" s="28">
        <f>AB123*O123</f>
        <v>68350.149999999994</v>
      </c>
      <c r="AD123" s="28">
        <f t="shared" ref="AD123:AD130" si="56">AC123-W123</f>
        <v>17653.349999999991</v>
      </c>
      <c r="AE123" s="38" t="s">
        <v>238</v>
      </c>
      <c r="AF123" s="3"/>
      <c r="AG123" s="14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32" x14ac:dyDescent="0.2">
      <c r="A124" s="3"/>
      <c r="B124" s="3" t="s">
        <v>231</v>
      </c>
      <c r="C124" s="3"/>
      <c r="D124" s="3" t="s">
        <v>249</v>
      </c>
      <c r="E124" s="3" t="s">
        <v>12</v>
      </c>
      <c r="F124" s="3" t="s">
        <v>77</v>
      </c>
      <c r="G124" s="3" t="s">
        <v>109</v>
      </c>
      <c r="H124" s="60">
        <v>45917</v>
      </c>
      <c r="I124" s="60">
        <f t="shared" ref="I124:I130" si="57">H124+60</f>
        <v>45977</v>
      </c>
      <c r="J124" s="62"/>
      <c r="K124" s="37"/>
      <c r="L124" s="27" t="s">
        <v>239</v>
      </c>
      <c r="M124" s="27" t="s">
        <v>375</v>
      </c>
      <c r="N124" s="27"/>
      <c r="O124" s="27">
        <v>90.986999999999995</v>
      </c>
      <c r="P124" s="20" t="s">
        <v>15</v>
      </c>
      <c r="Q124" s="27" t="s">
        <v>99</v>
      </c>
      <c r="R124" s="28">
        <v>560</v>
      </c>
      <c r="S124" s="28">
        <v>0</v>
      </c>
      <c r="T124" s="28">
        <v>0</v>
      </c>
      <c r="U124" s="28"/>
      <c r="V124" s="28">
        <f>SUM(R124:T124)</f>
        <v>560</v>
      </c>
      <c r="W124" s="28">
        <f>O124*V124</f>
        <v>50952.719999999994</v>
      </c>
      <c r="X124" s="28">
        <v>755</v>
      </c>
      <c r="Y124" s="28">
        <v>0</v>
      </c>
      <c r="Z124" s="28">
        <v>0</v>
      </c>
      <c r="AA124" s="28"/>
      <c r="AB124" s="28">
        <f t="shared" ref="AB124" si="58">SUM(X124:Z124)</f>
        <v>755</v>
      </c>
      <c r="AC124" s="28">
        <f>AB124*O124</f>
        <v>68695.184999999998</v>
      </c>
      <c r="AD124" s="28">
        <f t="shared" ref="AD124" si="59">AC124-W124</f>
        <v>17742.465000000004</v>
      </c>
      <c r="AE124" s="38" t="s">
        <v>238</v>
      </c>
      <c r="AF124" s="3"/>
      <c r="AG124" s="14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32" x14ac:dyDescent="0.2">
      <c r="A125" s="3"/>
      <c r="B125" s="3" t="s">
        <v>231</v>
      </c>
      <c r="C125" s="3"/>
      <c r="D125" s="3" t="s">
        <v>250</v>
      </c>
      <c r="E125" s="3" t="s">
        <v>12</v>
      </c>
      <c r="F125" s="3" t="s">
        <v>77</v>
      </c>
      <c r="G125" s="3" t="s">
        <v>109</v>
      </c>
      <c r="H125" s="60">
        <v>45919</v>
      </c>
      <c r="I125" s="60">
        <f t="shared" si="57"/>
        <v>45979</v>
      </c>
      <c r="J125" s="62"/>
      <c r="K125" s="37"/>
      <c r="L125" s="27" t="s">
        <v>118</v>
      </c>
      <c r="M125" s="27" t="s">
        <v>375</v>
      </c>
      <c r="N125" s="27"/>
      <c r="O125" s="27">
        <v>90.713999999999999</v>
      </c>
      <c r="P125" s="20" t="s">
        <v>15</v>
      </c>
      <c r="Q125" s="27" t="s">
        <v>99</v>
      </c>
      <c r="R125" s="28">
        <v>560</v>
      </c>
      <c r="S125" s="28">
        <v>0</v>
      </c>
      <c r="T125" s="28">
        <v>0</v>
      </c>
      <c r="U125" s="28"/>
      <c r="V125" s="28">
        <f>SUM(R125:T125)</f>
        <v>560</v>
      </c>
      <c r="W125" s="28">
        <f>O125*V125</f>
        <v>50799.839999999997</v>
      </c>
      <c r="X125" s="28">
        <v>755</v>
      </c>
      <c r="Y125" s="28">
        <v>0</v>
      </c>
      <c r="Z125" s="28">
        <v>0</v>
      </c>
      <c r="AA125" s="28"/>
      <c r="AB125" s="28">
        <f t="shared" ref="AB125" si="60">SUM(X125:Z125)</f>
        <v>755</v>
      </c>
      <c r="AC125" s="28">
        <f>AB125*O125</f>
        <v>68489.069999999992</v>
      </c>
      <c r="AD125" s="28">
        <f t="shared" ref="AD125" si="61">AC125-W125</f>
        <v>17689.229999999996</v>
      </c>
      <c r="AE125" s="38" t="s">
        <v>238</v>
      </c>
      <c r="AF125" s="3"/>
      <c r="AG125" s="14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32" x14ac:dyDescent="0.2">
      <c r="A126" s="3"/>
      <c r="B126" s="3" t="s">
        <v>231</v>
      </c>
      <c r="C126" s="3"/>
      <c r="D126" s="3" t="s">
        <v>251</v>
      </c>
      <c r="E126" s="3" t="s">
        <v>12</v>
      </c>
      <c r="F126" s="3" t="s">
        <v>77</v>
      </c>
      <c r="G126" s="3" t="s">
        <v>109</v>
      </c>
      <c r="H126" s="60">
        <v>45919</v>
      </c>
      <c r="I126" s="60">
        <f t="shared" si="57"/>
        <v>45979</v>
      </c>
      <c r="J126" s="62"/>
      <c r="K126" s="37"/>
      <c r="L126" s="27" t="s">
        <v>246</v>
      </c>
      <c r="M126" s="27" t="s">
        <v>375</v>
      </c>
      <c r="N126" s="27"/>
      <c r="O126" s="27">
        <v>93.125</v>
      </c>
      <c r="P126" s="20" t="s">
        <v>15</v>
      </c>
      <c r="Q126" s="27" t="s">
        <v>99</v>
      </c>
      <c r="R126" s="28">
        <v>560</v>
      </c>
      <c r="S126" s="28">
        <v>0</v>
      </c>
      <c r="T126" s="28">
        <v>0</v>
      </c>
      <c r="U126" s="28"/>
      <c r="V126" s="28">
        <f>SUM(R126:T126)</f>
        <v>560</v>
      </c>
      <c r="W126" s="28">
        <f>O126*V126</f>
        <v>52150</v>
      </c>
      <c r="X126" s="28">
        <v>755</v>
      </c>
      <c r="Y126" s="28">
        <v>0</v>
      </c>
      <c r="Z126" s="28">
        <v>0</v>
      </c>
      <c r="AA126" s="28"/>
      <c r="AB126" s="28">
        <f t="shared" ref="AB126" si="62">SUM(X126:Z126)</f>
        <v>755</v>
      </c>
      <c r="AC126" s="28">
        <f>AB126*O126</f>
        <v>70309.375</v>
      </c>
      <c r="AD126" s="28">
        <f t="shared" ref="AD126" si="63">AC126-W126</f>
        <v>18159.375</v>
      </c>
      <c r="AE126" s="38" t="s">
        <v>238</v>
      </c>
      <c r="AF126" s="3"/>
      <c r="AG126" s="14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32" x14ac:dyDescent="0.2">
      <c r="A127" s="3"/>
      <c r="B127" s="3" t="s">
        <v>231</v>
      </c>
      <c r="C127" s="3"/>
      <c r="D127" s="3" t="s">
        <v>252</v>
      </c>
      <c r="E127" s="3" t="s">
        <v>12</v>
      </c>
      <c r="F127" s="3" t="s">
        <v>115</v>
      </c>
      <c r="G127" s="3" t="s">
        <v>109</v>
      </c>
      <c r="H127" s="60">
        <v>45919</v>
      </c>
      <c r="I127" s="60">
        <f t="shared" si="57"/>
        <v>45979</v>
      </c>
      <c r="J127" s="62"/>
      <c r="K127" s="37"/>
      <c r="L127" s="27" t="s">
        <v>119</v>
      </c>
      <c r="M127" s="27" t="s">
        <v>375</v>
      </c>
      <c r="N127" s="27"/>
      <c r="O127" s="27">
        <v>90.394999999999996</v>
      </c>
      <c r="P127" s="20" t="s">
        <v>15</v>
      </c>
      <c r="Q127" s="27" t="s">
        <v>99</v>
      </c>
      <c r="R127" s="28">
        <v>560</v>
      </c>
      <c r="S127" s="28">
        <v>0</v>
      </c>
      <c r="T127" s="28">
        <v>0</v>
      </c>
      <c r="U127" s="28"/>
      <c r="V127" s="28">
        <f>SUM(R127:T127)</f>
        <v>560</v>
      </c>
      <c r="W127" s="28">
        <f>O127*V127</f>
        <v>50621.2</v>
      </c>
      <c r="X127" s="28">
        <v>755</v>
      </c>
      <c r="Y127" s="28">
        <v>0</v>
      </c>
      <c r="Z127" s="28">
        <v>0</v>
      </c>
      <c r="AA127" s="28"/>
      <c r="AB127" s="28">
        <f t="shared" si="55"/>
        <v>755</v>
      </c>
      <c r="AC127" s="28">
        <f>AB127*O127</f>
        <v>68248.224999999991</v>
      </c>
      <c r="AD127" s="28">
        <f t="shared" si="56"/>
        <v>17627.024999999994</v>
      </c>
      <c r="AE127" s="38" t="s">
        <v>238</v>
      </c>
      <c r="AF127" s="3"/>
      <c r="AG127" s="14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32" x14ac:dyDescent="0.2">
      <c r="A128" s="3"/>
      <c r="B128" s="3" t="s">
        <v>231</v>
      </c>
      <c r="C128" s="3"/>
      <c r="D128" s="3" t="s">
        <v>253</v>
      </c>
      <c r="E128" s="3" t="s">
        <v>12</v>
      </c>
      <c r="F128" s="3" t="s">
        <v>116</v>
      </c>
      <c r="G128" s="3" t="s">
        <v>109</v>
      </c>
      <c r="H128" s="60">
        <v>45919</v>
      </c>
      <c r="I128" s="60">
        <f t="shared" si="57"/>
        <v>45979</v>
      </c>
      <c r="J128" s="62"/>
      <c r="K128" s="37"/>
      <c r="L128" s="27" t="s">
        <v>239</v>
      </c>
      <c r="M128" s="27" t="s">
        <v>375</v>
      </c>
      <c r="N128" s="27"/>
      <c r="O128" s="27">
        <v>87.506</v>
      </c>
      <c r="P128" s="20" t="s">
        <v>15</v>
      </c>
      <c r="Q128" s="27" t="s">
        <v>99</v>
      </c>
      <c r="R128" s="28">
        <v>560</v>
      </c>
      <c r="S128" s="28">
        <v>0</v>
      </c>
      <c r="T128" s="28">
        <v>0</v>
      </c>
      <c r="U128" s="28"/>
      <c r="V128" s="28">
        <f>SUM(R128:T128)</f>
        <v>560</v>
      </c>
      <c r="W128" s="28">
        <f>O128*V128</f>
        <v>49003.360000000001</v>
      </c>
      <c r="X128" s="28">
        <v>755</v>
      </c>
      <c r="Y128" s="28">
        <v>0</v>
      </c>
      <c r="Z128" s="28">
        <v>0</v>
      </c>
      <c r="AA128" s="28"/>
      <c r="AB128" s="28">
        <f t="shared" si="55"/>
        <v>755</v>
      </c>
      <c r="AC128" s="28">
        <f>AB128*O128</f>
        <v>66067.03</v>
      </c>
      <c r="AD128" s="28">
        <f t="shared" si="56"/>
        <v>17063.669999999998</v>
      </c>
      <c r="AE128" s="38" t="s">
        <v>238</v>
      </c>
      <c r="AF128" s="3"/>
      <c r="AG128" s="14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32" x14ac:dyDescent="0.2">
      <c r="A129" s="3"/>
      <c r="B129" s="3" t="s">
        <v>231</v>
      </c>
      <c r="C129" s="3"/>
      <c r="D129" s="3" t="s">
        <v>254</v>
      </c>
      <c r="E129" s="3" t="s">
        <v>12</v>
      </c>
      <c r="F129" s="3" t="s">
        <v>117</v>
      </c>
      <c r="G129" s="3" t="s">
        <v>109</v>
      </c>
      <c r="H129" s="60">
        <v>45919</v>
      </c>
      <c r="I129" s="60">
        <f t="shared" si="57"/>
        <v>45979</v>
      </c>
      <c r="J129" s="62"/>
      <c r="K129" s="37"/>
      <c r="L129" s="27" t="s">
        <v>246</v>
      </c>
      <c r="M129" s="27" t="s">
        <v>375</v>
      </c>
      <c r="N129" s="27"/>
      <c r="O129" s="27">
        <v>91.522000000000006</v>
      </c>
      <c r="P129" s="20" t="s">
        <v>15</v>
      </c>
      <c r="Q129" s="27" t="s">
        <v>99</v>
      </c>
      <c r="R129" s="28">
        <v>560</v>
      </c>
      <c r="S129" s="28">
        <v>0</v>
      </c>
      <c r="T129" s="28">
        <v>0</v>
      </c>
      <c r="U129" s="28"/>
      <c r="V129" s="28">
        <f>SUM(R129:T129)</f>
        <v>560</v>
      </c>
      <c r="W129" s="28">
        <f>O129*V129</f>
        <v>51252.32</v>
      </c>
      <c r="X129" s="28">
        <v>755</v>
      </c>
      <c r="Y129" s="28">
        <v>0</v>
      </c>
      <c r="Z129" s="28">
        <v>0</v>
      </c>
      <c r="AA129" s="28"/>
      <c r="AB129" s="28">
        <f t="shared" si="55"/>
        <v>755</v>
      </c>
      <c r="AC129" s="28">
        <f>AB129*O129</f>
        <v>69099.11</v>
      </c>
      <c r="AD129" s="28">
        <f t="shared" si="56"/>
        <v>17846.79</v>
      </c>
      <c r="AE129" s="38" t="s">
        <v>238</v>
      </c>
      <c r="AF129" s="3"/>
      <c r="AG129" s="14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32" x14ac:dyDescent="0.2">
      <c r="A130" s="3"/>
      <c r="B130" s="3" t="s">
        <v>231</v>
      </c>
      <c r="C130" s="3"/>
      <c r="D130" s="3" t="s">
        <v>255</v>
      </c>
      <c r="E130" s="3" t="s">
        <v>12</v>
      </c>
      <c r="F130" s="3" t="s">
        <v>117</v>
      </c>
      <c r="G130" s="3" t="s">
        <v>109</v>
      </c>
      <c r="H130" s="60">
        <v>45919</v>
      </c>
      <c r="I130" s="60">
        <f t="shared" si="57"/>
        <v>45979</v>
      </c>
      <c r="J130" s="62"/>
      <c r="K130" s="37"/>
      <c r="L130" s="27" t="s">
        <v>241</v>
      </c>
      <c r="M130" s="27" t="s">
        <v>375</v>
      </c>
      <c r="N130" s="27"/>
      <c r="O130" s="27">
        <v>88.727000000000004</v>
      </c>
      <c r="P130" s="20" t="s">
        <v>15</v>
      </c>
      <c r="Q130" s="27" t="s">
        <v>99</v>
      </c>
      <c r="R130" s="28">
        <v>560</v>
      </c>
      <c r="S130" s="28">
        <v>0</v>
      </c>
      <c r="T130" s="28">
        <v>0</v>
      </c>
      <c r="U130" s="28"/>
      <c r="V130" s="28">
        <f>SUM(R130:T130)</f>
        <v>560</v>
      </c>
      <c r="W130" s="28">
        <f>O130*V130</f>
        <v>49687.12</v>
      </c>
      <c r="X130" s="28">
        <v>755</v>
      </c>
      <c r="Y130" s="28">
        <v>0</v>
      </c>
      <c r="Z130" s="28">
        <v>0</v>
      </c>
      <c r="AA130" s="28"/>
      <c r="AB130" s="28">
        <f t="shared" si="55"/>
        <v>755</v>
      </c>
      <c r="AC130" s="28">
        <f>AB130*O130</f>
        <v>66988.885000000009</v>
      </c>
      <c r="AD130" s="28">
        <f t="shared" si="56"/>
        <v>17301.765000000007</v>
      </c>
      <c r="AE130" s="38" t="s">
        <v>238</v>
      </c>
      <c r="AF130" s="3"/>
      <c r="AG130" s="14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20" x14ac:dyDescent="0.25">
      <c r="A131" s="6"/>
      <c r="B131" s="6"/>
      <c r="C131" s="7"/>
      <c r="D131" s="7"/>
      <c r="E131" s="7"/>
      <c r="F131" s="7"/>
      <c r="G131" s="7"/>
      <c r="H131" s="7"/>
      <c r="I131" s="60"/>
      <c r="J131" s="62"/>
      <c r="K131" s="7"/>
      <c r="L131" s="24" t="s">
        <v>17</v>
      </c>
      <c r="M131" s="24"/>
      <c r="N131" s="24"/>
      <c r="O131" s="24">
        <f>+SUM(O123:O130)</f>
        <v>723.50599999999997</v>
      </c>
      <c r="P131" s="8"/>
      <c r="Q131" s="24"/>
      <c r="R131" s="24"/>
      <c r="S131" s="24"/>
      <c r="T131" s="24"/>
      <c r="U131" s="24"/>
      <c r="V131" s="24"/>
      <c r="W131" s="25">
        <f>+SUM(W123:W130)</f>
        <v>405163.36</v>
      </c>
      <c r="X131" s="24"/>
      <c r="Y131" s="24"/>
      <c r="Z131" s="24"/>
      <c r="AA131" s="24"/>
      <c r="AB131" s="24"/>
      <c r="AC131" s="25">
        <f>+SUM(AC123:AC130)</f>
        <v>546247.02999999991</v>
      </c>
      <c r="AD131" s="25">
        <f>+SUM(AD123:AD130)</f>
        <v>141083.66999999998</v>
      </c>
    </row>
    <row r="132" spans="1:44" ht="32" x14ac:dyDescent="0.2">
      <c r="A132" s="3"/>
      <c r="B132" s="3" t="s">
        <v>247</v>
      </c>
      <c r="C132" s="3"/>
      <c r="D132" s="3" t="s">
        <v>256</v>
      </c>
      <c r="E132" s="3" t="s">
        <v>12</v>
      </c>
      <c r="F132" s="3" t="s">
        <v>77</v>
      </c>
      <c r="G132" s="3" t="s">
        <v>109</v>
      </c>
      <c r="H132" s="60">
        <v>45947</v>
      </c>
      <c r="I132" s="60">
        <f>H132+60</f>
        <v>46007</v>
      </c>
      <c r="J132" s="62"/>
      <c r="K132" s="3"/>
      <c r="L132" s="27" t="s">
        <v>239</v>
      </c>
      <c r="M132" s="27" t="s">
        <v>375</v>
      </c>
      <c r="N132" s="27"/>
      <c r="O132" s="27">
        <v>94.483000000000004</v>
      </c>
      <c r="P132" s="20" t="s">
        <v>15</v>
      </c>
      <c r="Q132" s="27" t="s">
        <v>99</v>
      </c>
      <c r="R132" s="28">
        <v>540</v>
      </c>
      <c r="S132" s="28">
        <v>0</v>
      </c>
      <c r="T132" s="28">
        <v>0</v>
      </c>
      <c r="U132" s="28"/>
      <c r="V132" s="28">
        <f>SUM(R132:T132)</f>
        <v>540</v>
      </c>
      <c r="W132" s="28">
        <f>O132*V132</f>
        <v>51020.82</v>
      </c>
      <c r="X132" s="28">
        <v>740</v>
      </c>
      <c r="Y132" s="28">
        <v>0</v>
      </c>
      <c r="Z132" s="28">
        <v>0</v>
      </c>
      <c r="AA132" s="28"/>
      <c r="AB132" s="28">
        <f t="shared" ref="AB132:AB139" si="64">SUM(X132:Z132)</f>
        <v>740</v>
      </c>
      <c r="AC132" s="28">
        <f>AB132*O132</f>
        <v>69917.42</v>
      </c>
      <c r="AD132" s="28">
        <f t="shared" ref="AD132:AD139" si="65">AC132-W132</f>
        <v>18896.599999999999</v>
      </c>
      <c r="AE132" s="38" t="s">
        <v>273</v>
      </c>
      <c r="AF132" s="3"/>
      <c r="AG132" s="14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32" x14ac:dyDescent="0.2">
      <c r="A133" s="3"/>
      <c r="B133" s="3" t="s">
        <v>247</v>
      </c>
      <c r="C133" s="3"/>
      <c r="D133" s="3" t="s">
        <v>257</v>
      </c>
      <c r="E133" s="3" t="s">
        <v>12</v>
      </c>
      <c r="F133" s="3" t="s">
        <v>77</v>
      </c>
      <c r="G133" s="3" t="s">
        <v>109</v>
      </c>
      <c r="H133" s="60">
        <v>45947</v>
      </c>
      <c r="I133" s="60">
        <f t="shared" ref="I133:I145" si="66">H133+60</f>
        <v>46007</v>
      </c>
      <c r="J133" s="62"/>
      <c r="K133" s="3"/>
      <c r="L133" s="27" t="s">
        <v>119</v>
      </c>
      <c r="M133" s="27" t="s">
        <v>375</v>
      </c>
      <c r="N133" s="27"/>
      <c r="O133" s="27">
        <v>91.909000000000006</v>
      </c>
      <c r="P133" s="20" t="s">
        <v>15</v>
      </c>
      <c r="Q133" s="27" t="s">
        <v>99</v>
      </c>
      <c r="R133" s="28">
        <v>540</v>
      </c>
      <c r="S133" s="28">
        <v>0</v>
      </c>
      <c r="T133" s="28">
        <v>0</v>
      </c>
      <c r="U133" s="28"/>
      <c r="V133" s="28">
        <f>SUM(R133:T133)</f>
        <v>540</v>
      </c>
      <c r="W133" s="28">
        <f>O133*V133</f>
        <v>49630.86</v>
      </c>
      <c r="X133" s="28">
        <v>740</v>
      </c>
      <c r="Y133" s="28">
        <v>0</v>
      </c>
      <c r="Z133" s="28">
        <v>0</v>
      </c>
      <c r="AA133" s="28"/>
      <c r="AB133" s="28">
        <f t="shared" si="64"/>
        <v>740</v>
      </c>
      <c r="AC133" s="28">
        <f>AB133*O133</f>
        <v>68012.66</v>
      </c>
      <c r="AD133" s="28">
        <f t="shared" si="65"/>
        <v>18381.800000000003</v>
      </c>
      <c r="AE133" s="38" t="s">
        <v>273</v>
      </c>
      <c r="AF133" s="3"/>
      <c r="AG133" s="14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32" x14ac:dyDescent="0.2">
      <c r="A134" s="3"/>
      <c r="B134" s="3" t="s">
        <v>247</v>
      </c>
      <c r="C134" s="3"/>
      <c r="D134" s="3" t="s">
        <v>258</v>
      </c>
      <c r="E134" s="3" t="s">
        <v>12</v>
      </c>
      <c r="F134" s="3" t="s">
        <v>77</v>
      </c>
      <c r="G134" s="3" t="s">
        <v>109</v>
      </c>
      <c r="H134" s="60">
        <v>45947</v>
      </c>
      <c r="I134" s="60">
        <f t="shared" si="66"/>
        <v>46007</v>
      </c>
      <c r="J134" s="62"/>
      <c r="K134" s="3"/>
      <c r="L134" s="27" t="s">
        <v>239</v>
      </c>
      <c r="M134" s="27" t="s">
        <v>375</v>
      </c>
      <c r="N134" s="27"/>
      <c r="O134" s="27">
        <v>87.569000000000003</v>
      </c>
      <c r="P134" s="20" t="s">
        <v>15</v>
      </c>
      <c r="Q134" s="27" t="s">
        <v>99</v>
      </c>
      <c r="R134" s="28">
        <v>540</v>
      </c>
      <c r="S134" s="28">
        <v>0</v>
      </c>
      <c r="T134" s="28">
        <v>0</v>
      </c>
      <c r="U134" s="28"/>
      <c r="V134" s="28">
        <f>SUM(R134:T134)</f>
        <v>540</v>
      </c>
      <c r="W134" s="28">
        <f>O134*V134</f>
        <v>47287.26</v>
      </c>
      <c r="X134" s="28">
        <v>740</v>
      </c>
      <c r="Y134" s="28">
        <v>0</v>
      </c>
      <c r="Z134" s="28">
        <v>0</v>
      </c>
      <c r="AA134" s="28"/>
      <c r="AB134" s="28">
        <f t="shared" si="64"/>
        <v>740</v>
      </c>
      <c r="AC134" s="28">
        <f>AB134*O134</f>
        <v>64801.060000000005</v>
      </c>
      <c r="AD134" s="28">
        <f t="shared" si="65"/>
        <v>17513.800000000003</v>
      </c>
      <c r="AE134" s="38" t="s">
        <v>273</v>
      </c>
      <c r="AF134" s="3"/>
      <c r="AG134" s="14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32" x14ac:dyDescent="0.2">
      <c r="A135" s="3"/>
      <c r="B135" s="3" t="s">
        <v>247</v>
      </c>
      <c r="C135" s="3"/>
      <c r="D135" s="3" t="s">
        <v>259</v>
      </c>
      <c r="E135" s="3" t="s">
        <v>12</v>
      </c>
      <c r="F135" s="3" t="s">
        <v>77</v>
      </c>
      <c r="G135" s="3" t="s">
        <v>109</v>
      </c>
      <c r="H135" s="60">
        <v>45947</v>
      </c>
      <c r="I135" s="60">
        <f t="shared" si="66"/>
        <v>46007</v>
      </c>
      <c r="J135" s="62"/>
      <c r="K135" s="3"/>
      <c r="L135" s="27" t="s">
        <v>119</v>
      </c>
      <c r="M135" s="27" t="s">
        <v>375</v>
      </c>
      <c r="N135" s="27"/>
      <c r="O135" s="27">
        <v>92.626000000000005</v>
      </c>
      <c r="P135" s="20" t="s">
        <v>15</v>
      </c>
      <c r="Q135" s="27" t="s">
        <v>99</v>
      </c>
      <c r="R135" s="28">
        <v>540</v>
      </c>
      <c r="S135" s="28">
        <v>0</v>
      </c>
      <c r="T135" s="28">
        <v>0</v>
      </c>
      <c r="U135" s="28"/>
      <c r="V135" s="28">
        <f>SUM(R135:T135)</f>
        <v>540</v>
      </c>
      <c r="W135" s="28">
        <f>O135*V135</f>
        <v>50018.04</v>
      </c>
      <c r="X135" s="28">
        <v>740</v>
      </c>
      <c r="Y135" s="28">
        <v>0</v>
      </c>
      <c r="Z135" s="28">
        <v>0</v>
      </c>
      <c r="AA135" s="28"/>
      <c r="AB135" s="28">
        <f t="shared" si="64"/>
        <v>740</v>
      </c>
      <c r="AC135" s="28">
        <f>AB135*O135</f>
        <v>68543.240000000005</v>
      </c>
      <c r="AD135" s="28">
        <f t="shared" si="65"/>
        <v>18525.200000000004</v>
      </c>
      <c r="AE135" s="38" t="s">
        <v>273</v>
      </c>
      <c r="AF135" s="3"/>
      <c r="AG135" s="14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32" x14ac:dyDescent="0.2">
      <c r="A136" s="3"/>
      <c r="B136" s="3" t="s">
        <v>247</v>
      </c>
      <c r="C136" s="3"/>
      <c r="D136" s="3" t="s">
        <v>260</v>
      </c>
      <c r="E136" s="3" t="s">
        <v>12</v>
      </c>
      <c r="F136" s="3" t="s">
        <v>115</v>
      </c>
      <c r="G136" s="3" t="s">
        <v>109</v>
      </c>
      <c r="H136" s="60">
        <v>45950</v>
      </c>
      <c r="I136" s="60">
        <f t="shared" si="66"/>
        <v>46010</v>
      </c>
      <c r="J136" s="62"/>
      <c r="K136" s="3"/>
      <c r="L136" s="27" t="s">
        <v>239</v>
      </c>
      <c r="M136" s="27" t="s">
        <v>375</v>
      </c>
      <c r="N136" s="27"/>
      <c r="O136" s="27">
        <v>91.781999999999996</v>
      </c>
      <c r="P136" s="20" t="s">
        <v>15</v>
      </c>
      <c r="Q136" s="27" t="s">
        <v>99</v>
      </c>
      <c r="R136" s="28">
        <v>540</v>
      </c>
      <c r="S136" s="28">
        <v>0</v>
      </c>
      <c r="T136" s="28">
        <v>0</v>
      </c>
      <c r="U136" s="28"/>
      <c r="V136" s="28">
        <f>SUM(R136:T136)</f>
        <v>540</v>
      </c>
      <c r="W136" s="28">
        <f>O136*V136</f>
        <v>49562.28</v>
      </c>
      <c r="X136" s="28">
        <v>740</v>
      </c>
      <c r="Y136" s="28">
        <v>0</v>
      </c>
      <c r="Z136" s="28">
        <v>0</v>
      </c>
      <c r="AA136" s="28"/>
      <c r="AB136" s="28">
        <f t="shared" si="64"/>
        <v>740</v>
      </c>
      <c r="AC136" s="28">
        <f>AB136*O136</f>
        <v>67918.679999999993</v>
      </c>
      <c r="AD136" s="28">
        <f t="shared" si="65"/>
        <v>18356.399999999994</v>
      </c>
      <c r="AE136" s="38" t="s">
        <v>273</v>
      </c>
      <c r="AF136" s="3"/>
      <c r="AG136" s="14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32" x14ac:dyDescent="0.2">
      <c r="A137" s="3"/>
      <c r="B137" s="3" t="s">
        <v>247</v>
      </c>
      <c r="C137" s="3"/>
      <c r="D137" s="3" t="s">
        <v>261</v>
      </c>
      <c r="E137" s="3" t="s">
        <v>12</v>
      </c>
      <c r="F137" s="3" t="s">
        <v>116</v>
      </c>
      <c r="G137" s="3" t="s">
        <v>109</v>
      </c>
      <c r="H137" s="60">
        <v>45950</v>
      </c>
      <c r="I137" s="60">
        <f t="shared" si="66"/>
        <v>46010</v>
      </c>
      <c r="J137" s="62"/>
      <c r="K137" s="3"/>
      <c r="L137" s="27" t="s">
        <v>119</v>
      </c>
      <c r="M137" s="27" t="s">
        <v>375</v>
      </c>
      <c r="N137" s="27"/>
      <c r="O137" s="27">
        <v>91.364999999999995</v>
      </c>
      <c r="P137" s="20" t="s">
        <v>15</v>
      </c>
      <c r="Q137" s="27" t="s">
        <v>99</v>
      </c>
      <c r="R137" s="28">
        <v>540</v>
      </c>
      <c r="S137" s="28">
        <v>0</v>
      </c>
      <c r="T137" s="28">
        <v>0</v>
      </c>
      <c r="U137" s="28"/>
      <c r="V137" s="28">
        <f>SUM(R137:T137)</f>
        <v>540</v>
      </c>
      <c r="W137" s="28">
        <f>O137*V137</f>
        <v>49337.1</v>
      </c>
      <c r="X137" s="28">
        <v>740</v>
      </c>
      <c r="Y137" s="28">
        <v>0</v>
      </c>
      <c r="Z137" s="28">
        <v>0</v>
      </c>
      <c r="AA137" s="28"/>
      <c r="AB137" s="28">
        <f t="shared" si="64"/>
        <v>740</v>
      </c>
      <c r="AC137" s="28">
        <f>AB137*O137</f>
        <v>67610.099999999991</v>
      </c>
      <c r="AD137" s="28">
        <f t="shared" si="65"/>
        <v>18272.999999999993</v>
      </c>
      <c r="AE137" s="38" t="s">
        <v>273</v>
      </c>
      <c r="AF137" s="3"/>
      <c r="AG137" s="14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32" x14ac:dyDescent="0.2">
      <c r="A138" s="3"/>
      <c r="B138" s="3" t="s">
        <v>247</v>
      </c>
      <c r="C138" s="3"/>
      <c r="D138" s="3" t="s">
        <v>262</v>
      </c>
      <c r="E138" s="3" t="s">
        <v>12</v>
      </c>
      <c r="F138" s="3" t="s">
        <v>117</v>
      </c>
      <c r="G138" s="3" t="s">
        <v>109</v>
      </c>
      <c r="H138" s="60">
        <v>45950</v>
      </c>
      <c r="I138" s="60">
        <f t="shared" si="66"/>
        <v>46010</v>
      </c>
      <c r="J138" s="62"/>
      <c r="K138" s="3"/>
      <c r="L138" s="27" t="s">
        <v>241</v>
      </c>
      <c r="M138" s="27" t="s">
        <v>375</v>
      </c>
      <c r="N138" s="27"/>
      <c r="O138" s="27">
        <v>91.481999999999999</v>
      </c>
      <c r="P138" s="20" t="s">
        <v>15</v>
      </c>
      <c r="Q138" s="27" t="s">
        <v>99</v>
      </c>
      <c r="R138" s="28">
        <v>540</v>
      </c>
      <c r="S138" s="28">
        <v>0</v>
      </c>
      <c r="T138" s="28">
        <v>0</v>
      </c>
      <c r="U138" s="28"/>
      <c r="V138" s="28">
        <f>SUM(R138:T138)</f>
        <v>540</v>
      </c>
      <c r="W138" s="28">
        <f>O138*V138</f>
        <v>49400.28</v>
      </c>
      <c r="X138" s="28">
        <v>740</v>
      </c>
      <c r="Y138" s="28">
        <v>0</v>
      </c>
      <c r="Z138" s="28">
        <v>0</v>
      </c>
      <c r="AA138" s="28"/>
      <c r="AB138" s="28">
        <f t="shared" si="64"/>
        <v>740</v>
      </c>
      <c r="AC138" s="28">
        <f>AB138*O138</f>
        <v>67696.679999999993</v>
      </c>
      <c r="AD138" s="28">
        <f t="shared" si="65"/>
        <v>18296.399999999994</v>
      </c>
      <c r="AE138" s="38" t="s">
        <v>273</v>
      </c>
      <c r="AF138" s="3"/>
      <c r="AG138" s="14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32" x14ac:dyDescent="0.2">
      <c r="A139" s="3"/>
      <c r="B139" s="3" t="s">
        <v>247</v>
      </c>
      <c r="C139" s="3"/>
      <c r="D139" s="3" t="s">
        <v>263</v>
      </c>
      <c r="E139" s="3" t="s">
        <v>12</v>
      </c>
      <c r="F139" s="3" t="s">
        <v>117</v>
      </c>
      <c r="G139" s="3" t="s">
        <v>109</v>
      </c>
      <c r="H139" s="60">
        <v>45950</v>
      </c>
      <c r="I139" s="60">
        <f t="shared" si="66"/>
        <v>46010</v>
      </c>
      <c r="J139" s="62"/>
      <c r="K139" s="3"/>
      <c r="L139" s="27" t="s">
        <v>241</v>
      </c>
      <c r="M139" s="27" t="s">
        <v>375</v>
      </c>
      <c r="N139" s="27"/>
      <c r="O139" s="27">
        <v>92.938000000000002</v>
      </c>
      <c r="P139" s="20" t="s">
        <v>15</v>
      </c>
      <c r="Q139" s="27" t="s">
        <v>99</v>
      </c>
      <c r="R139" s="28">
        <v>540</v>
      </c>
      <c r="S139" s="28">
        <v>0</v>
      </c>
      <c r="T139" s="28">
        <v>0</v>
      </c>
      <c r="U139" s="28"/>
      <c r="V139" s="28">
        <f>SUM(R139:T139)</f>
        <v>540</v>
      </c>
      <c r="W139" s="28">
        <f>O139*V139</f>
        <v>50186.520000000004</v>
      </c>
      <c r="X139" s="28">
        <v>740</v>
      </c>
      <c r="Y139" s="28">
        <v>0</v>
      </c>
      <c r="Z139" s="28">
        <v>0</v>
      </c>
      <c r="AA139" s="28"/>
      <c r="AB139" s="28">
        <f t="shared" si="64"/>
        <v>740</v>
      </c>
      <c r="AC139" s="28">
        <f>AB139*O139</f>
        <v>68774.12</v>
      </c>
      <c r="AD139" s="28">
        <f t="shared" si="65"/>
        <v>18587.599999999991</v>
      </c>
      <c r="AE139" s="38" t="s">
        <v>273</v>
      </c>
      <c r="AF139" s="3"/>
      <c r="AG139" s="14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32" x14ac:dyDescent="0.2">
      <c r="A140" s="3"/>
      <c r="B140" s="3" t="s">
        <v>247</v>
      </c>
      <c r="C140" s="3"/>
      <c r="D140" s="3" t="s">
        <v>270</v>
      </c>
      <c r="E140" s="3" t="s">
        <v>12</v>
      </c>
      <c r="F140" s="3" t="s">
        <v>117</v>
      </c>
      <c r="G140" s="3" t="s">
        <v>109</v>
      </c>
      <c r="H140" s="60">
        <v>45950</v>
      </c>
      <c r="I140" s="60">
        <f t="shared" si="66"/>
        <v>46010</v>
      </c>
      <c r="J140" s="62"/>
      <c r="K140" s="3"/>
      <c r="L140" s="27" t="s">
        <v>123</v>
      </c>
      <c r="M140" s="27" t="s">
        <v>375</v>
      </c>
      <c r="N140" s="27"/>
      <c r="O140" s="27">
        <v>89.605999999999995</v>
      </c>
      <c r="P140" s="20" t="s">
        <v>15</v>
      </c>
      <c r="Q140" s="27" t="s">
        <v>99</v>
      </c>
      <c r="R140" s="28">
        <v>540</v>
      </c>
      <c r="S140" s="28">
        <v>0</v>
      </c>
      <c r="T140" s="28">
        <v>0</v>
      </c>
      <c r="U140" s="28"/>
      <c r="V140" s="28">
        <f>SUM(R140:T140)</f>
        <v>540</v>
      </c>
      <c r="W140" s="28">
        <f>O140*V140</f>
        <v>48387.24</v>
      </c>
      <c r="X140" s="28">
        <v>740</v>
      </c>
      <c r="Y140" s="28">
        <v>0</v>
      </c>
      <c r="Z140" s="28">
        <v>0</v>
      </c>
      <c r="AA140" s="28"/>
      <c r="AB140" s="28">
        <f t="shared" ref="AB140:AB142" si="67">SUM(X140:Z140)</f>
        <v>740</v>
      </c>
      <c r="AC140" s="28">
        <f>AB140*O140</f>
        <v>66308.44</v>
      </c>
      <c r="AD140" s="28">
        <f t="shared" ref="AD140:AD142" si="68">AC140-W140</f>
        <v>17921.200000000004</v>
      </c>
      <c r="AE140" s="38" t="s">
        <v>273</v>
      </c>
      <c r="AF140" s="3"/>
      <c r="AG140" s="14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32" x14ac:dyDescent="0.2">
      <c r="A141" s="3"/>
      <c r="B141" s="3" t="s">
        <v>247</v>
      </c>
      <c r="C141" s="3"/>
      <c r="D141" s="3" t="s">
        <v>271</v>
      </c>
      <c r="E141" s="3" t="s">
        <v>12</v>
      </c>
      <c r="F141" s="3" t="s">
        <v>117</v>
      </c>
      <c r="G141" s="3" t="s">
        <v>109</v>
      </c>
      <c r="H141" s="60">
        <v>45950</v>
      </c>
      <c r="I141" s="60">
        <f t="shared" si="66"/>
        <v>46010</v>
      </c>
      <c r="J141" s="62"/>
      <c r="K141" s="3"/>
      <c r="L141" s="27" t="s">
        <v>119</v>
      </c>
      <c r="M141" s="27" t="s">
        <v>375</v>
      </c>
      <c r="N141" s="27"/>
      <c r="O141" s="27">
        <v>92.486999999999995</v>
      </c>
      <c r="P141" s="20" t="s">
        <v>15</v>
      </c>
      <c r="Q141" s="27" t="s">
        <v>99</v>
      </c>
      <c r="R141" s="28">
        <v>540</v>
      </c>
      <c r="S141" s="28">
        <v>0</v>
      </c>
      <c r="T141" s="28">
        <v>0</v>
      </c>
      <c r="U141" s="28"/>
      <c r="V141" s="28">
        <f>SUM(R141:T141)</f>
        <v>540</v>
      </c>
      <c r="W141" s="28">
        <f>O141*V141</f>
        <v>49942.979999999996</v>
      </c>
      <c r="X141" s="28">
        <v>740</v>
      </c>
      <c r="Y141" s="28">
        <v>0</v>
      </c>
      <c r="Z141" s="28">
        <v>0</v>
      </c>
      <c r="AA141" s="28"/>
      <c r="AB141" s="28">
        <f t="shared" si="67"/>
        <v>740</v>
      </c>
      <c r="AC141" s="28">
        <f>AB141*O141</f>
        <v>68440.37999999999</v>
      </c>
      <c r="AD141" s="28">
        <f t="shared" si="68"/>
        <v>18497.399999999994</v>
      </c>
      <c r="AE141" s="38" t="s">
        <v>273</v>
      </c>
      <c r="AF141" s="3"/>
      <c r="AG141" s="14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32" x14ac:dyDescent="0.2">
      <c r="A142" s="3"/>
      <c r="B142" s="3" t="s">
        <v>247</v>
      </c>
      <c r="C142" s="3"/>
      <c r="D142" s="3" t="s">
        <v>272</v>
      </c>
      <c r="E142" s="3" t="s">
        <v>12</v>
      </c>
      <c r="F142" s="3" t="s">
        <v>117</v>
      </c>
      <c r="G142" s="3" t="s">
        <v>109</v>
      </c>
      <c r="H142" s="60">
        <v>45958</v>
      </c>
      <c r="I142" s="60">
        <f t="shared" si="66"/>
        <v>46018</v>
      </c>
      <c r="J142" s="62"/>
      <c r="K142" s="3"/>
      <c r="L142" s="27" t="s">
        <v>242</v>
      </c>
      <c r="M142" s="27" t="s">
        <v>375</v>
      </c>
      <c r="N142" s="27"/>
      <c r="O142" s="27">
        <v>91.897000000000006</v>
      </c>
      <c r="P142" s="20" t="s">
        <v>15</v>
      </c>
      <c r="Q142" s="27" t="s">
        <v>99</v>
      </c>
      <c r="R142" s="28">
        <v>540</v>
      </c>
      <c r="S142" s="28">
        <v>0</v>
      </c>
      <c r="T142" s="28">
        <v>0</v>
      </c>
      <c r="U142" s="28"/>
      <c r="V142" s="28">
        <f>SUM(R142:T142)</f>
        <v>540</v>
      </c>
      <c r="W142" s="28">
        <f>O142*V142</f>
        <v>49624.380000000005</v>
      </c>
      <c r="X142" s="28">
        <v>740</v>
      </c>
      <c r="Y142" s="28">
        <v>0</v>
      </c>
      <c r="Z142" s="28">
        <v>0</v>
      </c>
      <c r="AA142" s="28"/>
      <c r="AB142" s="28">
        <f t="shared" si="67"/>
        <v>740</v>
      </c>
      <c r="AC142" s="28">
        <f>AB142*O142</f>
        <v>68003.78</v>
      </c>
      <c r="AD142" s="28">
        <f t="shared" si="68"/>
        <v>18379.399999999994</v>
      </c>
      <c r="AE142" s="38" t="s">
        <v>273</v>
      </c>
      <c r="AF142" s="3"/>
      <c r="AG142" s="14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20" x14ac:dyDescent="0.25">
      <c r="A143" s="6"/>
      <c r="B143" s="6"/>
      <c r="C143" s="7"/>
      <c r="D143" s="7"/>
      <c r="E143" s="7"/>
      <c r="F143" s="7"/>
      <c r="G143" s="7"/>
      <c r="H143" s="7"/>
      <c r="I143" s="60"/>
      <c r="J143" s="62"/>
      <c r="K143" s="7"/>
      <c r="L143" s="24" t="s">
        <v>17</v>
      </c>
      <c r="M143" s="24"/>
      <c r="N143" s="24"/>
      <c r="O143" s="24">
        <f>+SUM(O132:O142)</f>
        <v>1008.1439999999999</v>
      </c>
      <c r="P143" s="8"/>
      <c r="Q143" s="24"/>
      <c r="R143" s="24"/>
      <c r="S143" s="24"/>
      <c r="T143" s="24"/>
      <c r="U143" s="24"/>
      <c r="V143" s="24"/>
      <c r="W143" s="25">
        <f>+SUM(W132:W142)</f>
        <v>544397.76</v>
      </c>
      <c r="X143" s="24"/>
      <c r="Y143" s="24"/>
      <c r="Z143" s="24"/>
      <c r="AA143" s="24"/>
      <c r="AB143" s="24"/>
      <c r="AC143" s="25">
        <f>+SUM(AC132:AC142)</f>
        <v>746026.55999999994</v>
      </c>
      <c r="AD143" s="25">
        <f>+SUM(AD132:AD142)</f>
        <v>201628.79999999999</v>
      </c>
    </row>
    <row r="144" spans="1:44" ht="32" x14ac:dyDescent="0.2">
      <c r="A144" s="3"/>
      <c r="B144" s="3" t="s">
        <v>266</v>
      </c>
      <c r="C144" s="3"/>
      <c r="D144" s="3" t="s">
        <v>267</v>
      </c>
      <c r="E144" s="3" t="s">
        <v>12</v>
      </c>
      <c r="F144" s="3" t="s">
        <v>117</v>
      </c>
      <c r="G144" s="81" t="s">
        <v>226</v>
      </c>
      <c r="H144" s="60">
        <v>45952</v>
      </c>
      <c r="I144" s="60">
        <f t="shared" si="66"/>
        <v>46012</v>
      </c>
      <c r="J144" s="62"/>
      <c r="K144" s="37"/>
      <c r="L144" s="27" t="s">
        <v>227</v>
      </c>
      <c r="M144" s="27" t="s">
        <v>376</v>
      </c>
      <c r="N144" s="27"/>
      <c r="O144" s="27">
        <v>90.616</v>
      </c>
      <c r="P144" s="20" t="s">
        <v>15</v>
      </c>
      <c r="Q144" s="27" t="s">
        <v>99</v>
      </c>
      <c r="R144" s="28">
        <v>550</v>
      </c>
      <c r="S144" s="28">
        <v>0</v>
      </c>
      <c r="T144" s="28">
        <v>0</v>
      </c>
      <c r="U144" s="28"/>
      <c r="V144" s="28">
        <v>550</v>
      </c>
      <c r="W144" s="28">
        <f>O144*V144</f>
        <v>49838.8</v>
      </c>
      <c r="X144" s="28">
        <v>745</v>
      </c>
      <c r="Y144" s="28">
        <v>0</v>
      </c>
      <c r="Z144" s="28">
        <v>0</v>
      </c>
      <c r="AA144" s="28"/>
      <c r="AB144" s="28">
        <f t="shared" ref="AB144" si="69">SUM(X144:Z144)</f>
        <v>745</v>
      </c>
      <c r="AC144" s="28">
        <f>AB144*O144</f>
        <v>67508.92</v>
      </c>
      <c r="AD144" s="28">
        <f t="shared" ref="AD144" si="70">AC144-W144</f>
        <v>17670.119999999995</v>
      </c>
      <c r="AE144" s="38" t="s">
        <v>284</v>
      </c>
      <c r="AF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32" x14ac:dyDescent="0.2">
      <c r="A145" s="3"/>
      <c r="B145" s="3" t="s">
        <v>266</v>
      </c>
      <c r="C145" s="3"/>
      <c r="D145" s="3" t="s">
        <v>268</v>
      </c>
      <c r="E145" s="3" t="s">
        <v>12</v>
      </c>
      <c r="F145" s="3" t="s">
        <v>117</v>
      </c>
      <c r="G145" s="81" t="s">
        <v>226</v>
      </c>
      <c r="H145" s="60">
        <v>45952</v>
      </c>
      <c r="I145" s="60">
        <f t="shared" si="66"/>
        <v>46012</v>
      </c>
      <c r="J145" s="62"/>
      <c r="K145" s="37"/>
      <c r="L145" s="27" t="s">
        <v>227</v>
      </c>
      <c r="M145" s="27" t="s">
        <v>376</v>
      </c>
      <c r="N145" s="27"/>
      <c r="O145" s="27">
        <v>91.451999999999998</v>
      </c>
      <c r="P145" s="20" t="s">
        <v>15</v>
      </c>
      <c r="Q145" s="27" t="s">
        <v>99</v>
      </c>
      <c r="R145" s="28">
        <v>550</v>
      </c>
      <c r="S145" s="28">
        <v>0</v>
      </c>
      <c r="T145" s="28">
        <v>0</v>
      </c>
      <c r="U145" s="28"/>
      <c r="V145" s="28">
        <v>550</v>
      </c>
      <c r="W145" s="28">
        <f>O145*V145</f>
        <v>50298.6</v>
      </c>
      <c r="X145" s="28">
        <v>745</v>
      </c>
      <c r="Y145" s="28">
        <v>0</v>
      </c>
      <c r="Z145" s="28">
        <v>0</v>
      </c>
      <c r="AA145" s="28"/>
      <c r="AB145" s="28">
        <f t="shared" ref="AB145" si="71">SUM(X145:Z145)</f>
        <v>745</v>
      </c>
      <c r="AC145" s="28">
        <f>AB145*O145</f>
        <v>68131.740000000005</v>
      </c>
      <c r="AD145" s="28">
        <f t="shared" ref="AD145" si="72">AC145-W145</f>
        <v>17833.140000000007</v>
      </c>
      <c r="AE145" s="38" t="s">
        <v>284</v>
      </c>
      <c r="AF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20" x14ac:dyDescent="0.25">
      <c r="A146" s="6"/>
      <c r="B146" s="6"/>
      <c r="C146" s="7"/>
      <c r="D146" s="7"/>
      <c r="E146" s="7"/>
      <c r="F146" s="7"/>
      <c r="G146" s="7"/>
      <c r="H146" s="7"/>
      <c r="I146" s="60"/>
      <c r="J146" s="62"/>
      <c r="K146" s="7"/>
      <c r="L146" s="24" t="s">
        <v>17</v>
      </c>
      <c r="M146" s="24"/>
      <c r="N146" s="24"/>
      <c r="O146" s="24">
        <f>+SUM(O144:O145)</f>
        <v>182.06799999999998</v>
      </c>
      <c r="P146" s="8"/>
      <c r="Q146" s="24"/>
      <c r="R146" s="24"/>
      <c r="S146" s="24"/>
      <c r="T146" s="24"/>
      <c r="U146" s="24"/>
      <c r="V146" s="24"/>
      <c r="W146" s="25">
        <f>+SUM(W144:W145)</f>
        <v>100137.4</v>
      </c>
      <c r="X146" s="24"/>
      <c r="Y146" s="24"/>
      <c r="Z146" s="24"/>
      <c r="AA146" s="24"/>
      <c r="AB146" s="24"/>
      <c r="AC146" s="25">
        <f>+SUM(AC144:AC145)</f>
        <v>135640.66</v>
      </c>
      <c r="AD146" s="25">
        <f>+SUM(AD144:AD145)</f>
        <v>35503.26</v>
      </c>
      <c r="AI146" s="3"/>
    </row>
    <row r="147" spans="1:44" ht="32" x14ac:dyDescent="0.2">
      <c r="A147" s="3"/>
      <c r="B147" s="3" t="s">
        <v>289</v>
      </c>
      <c r="C147" s="3"/>
      <c r="D147" s="3" t="s">
        <v>290</v>
      </c>
      <c r="E147" s="3" t="s">
        <v>12</v>
      </c>
      <c r="F147" s="3" t="s">
        <v>77</v>
      </c>
      <c r="G147" s="3" t="s">
        <v>14</v>
      </c>
      <c r="H147" s="60"/>
      <c r="I147" s="60"/>
      <c r="J147" s="62"/>
      <c r="K147" s="37"/>
      <c r="L147" s="27"/>
      <c r="M147" s="27"/>
      <c r="N147" s="27"/>
      <c r="O147" s="27">
        <v>500</v>
      </c>
      <c r="P147" s="20" t="s">
        <v>15</v>
      </c>
      <c r="Q147" s="27" t="s">
        <v>16</v>
      </c>
      <c r="R147" s="42">
        <v>546</v>
      </c>
      <c r="S147" s="28">
        <v>0</v>
      </c>
      <c r="T147" s="28">
        <v>-40</v>
      </c>
      <c r="U147" s="28"/>
      <c r="V147" s="28">
        <f>R147+T147</f>
        <v>506</v>
      </c>
      <c r="W147" s="28">
        <f>O147*V147</f>
        <v>253000</v>
      </c>
      <c r="X147" s="28">
        <v>605</v>
      </c>
      <c r="Y147" s="28">
        <v>0</v>
      </c>
      <c r="Z147" s="28">
        <v>0</v>
      </c>
      <c r="AA147" s="28"/>
      <c r="AB147" s="28">
        <v>605</v>
      </c>
      <c r="AC147" s="28">
        <f>AB147*O147</f>
        <v>302500</v>
      </c>
      <c r="AD147" s="28">
        <f t="shared" ref="AD147:AD148" si="73">AC147-W147</f>
        <v>49500</v>
      </c>
      <c r="AE147" s="38" t="s">
        <v>194</v>
      </c>
    </row>
    <row r="148" spans="1:44" ht="32" x14ac:dyDescent="0.2">
      <c r="A148" s="3"/>
      <c r="B148" s="3" t="s">
        <v>289</v>
      </c>
      <c r="C148" s="3"/>
      <c r="D148" s="3" t="s">
        <v>291</v>
      </c>
      <c r="E148" s="3" t="s">
        <v>12</v>
      </c>
      <c r="F148" s="3" t="s">
        <v>79</v>
      </c>
      <c r="G148" s="3" t="s">
        <v>14</v>
      </c>
      <c r="H148" s="60"/>
      <c r="I148" s="60"/>
      <c r="J148" s="62"/>
      <c r="K148" s="37"/>
      <c r="L148" s="27"/>
      <c r="M148" s="27"/>
      <c r="N148" s="27"/>
      <c r="O148" s="27">
        <v>500</v>
      </c>
      <c r="P148" s="20" t="s">
        <v>15</v>
      </c>
      <c r="Q148" s="27" t="s">
        <v>16</v>
      </c>
      <c r="R148" s="42">
        <v>546</v>
      </c>
      <c r="S148" s="28">
        <v>0</v>
      </c>
      <c r="T148" s="28">
        <v>-40</v>
      </c>
      <c r="U148" s="28"/>
      <c r="V148" s="28">
        <f>R148+T148</f>
        <v>506</v>
      </c>
      <c r="W148" s="28">
        <f>O148*V148</f>
        <v>253000</v>
      </c>
      <c r="X148" s="28">
        <v>605</v>
      </c>
      <c r="Y148" s="28">
        <v>0</v>
      </c>
      <c r="Z148" s="28">
        <v>0</v>
      </c>
      <c r="AA148" s="28"/>
      <c r="AB148" s="28">
        <v>605</v>
      </c>
      <c r="AC148" s="28">
        <f>AB148*O148</f>
        <v>302500</v>
      </c>
      <c r="AD148" s="28">
        <f t="shared" si="73"/>
        <v>49500</v>
      </c>
      <c r="AE148" s="38" t="s">
        <v>194</v>
      </c>
    </row>
    <row r="149" spans="1:44" ht="20" x14ac:dyDescent="0.25">
      <c r="A149" s="6"/>
      <c r="B149" s="6"/>
      <c r="C149" s="7"/>
      <c r="D149" s="7"/>
      <c r="E149" s="7"/>
      <c r="F149" s="7"/>
      <c r="G149" s="7"/>
      <c r="H149" s="7"/>
      <c r="I149" s="60"/>
      <c r="J149" s="62"/>
      <c r="K149" s="7"/>
      <c r="L149" s="24" t="s">
        <v>17</v>
      </c>
      <c r="M149" s="24"/>
      <c r="N149" s="24"/>
      <c r="O149" s="24">
        <f>+SUM(O147:O148)</f>
        <v>1000</v>
      </c>
      <c r="P149" s="8"/>
      <c r="Q149" s="24"/>
      <c r="R149" s="24"/>
      <c r="S149" s="24"/>
      <c r="T149" s="24"/>
      <c r="U149" s="24"/>
      <c r="V149" s="24"/>
      <c r="W149" s="25">
        <f>+SUM(W147:W148)</f>
        <v>506000</v>
      </c>
      <c r="X149" s="24"/>
      <c r="Y149" s="24"/>
      <c r="Z149" s="24"/>
      <c r="AA149" s="24"/>
      <c r="AB149" s="24"/>
      <c r="AC149" s="25">
        <f>+SUM(AC147:AC148)</f>
        <v>605000</v>
      </c>
      <c r="AD149" s="25">
        <f>+SUM(AD147:AD148)</f>
        <v>99000</v>
      </c>
    </row>
    <row r="150" spans="1:44" ht="32" x14ac:dyDescent="0.2">
      <c r="A150" s="3"/>
      <c r="B150" s="3" t="s">
        <v>295</v>
      </c>
      <c r="C150" s="3"/>
      <c r="D150" s="3" t="s">
        <v>296</v>
      </c>
      <c r="E150" s="3" t="s">
        <v>12</v>
      </c>
      <c r="F150" s="3" t="s">
        <v>117</v>
      </c>
      <c r="G150" s="81" t="s">
        <v>226</v>
      </c>
      <c r="H150" s="60"/>
      <c r="I150" s="60">
        <f t="shared" ref="I150:I152" si="74">H150+60</f>
        <v>60</v>
      </c>
      <c r="J150" s="62"/>
      <c r="K150" s="37"/>
      <c r="L150" s="27" t="s">
        <v>227</v>
      </c>
      <c r="M150" s="27" t="s">
        <v>376</v>
      </c>
      <c r="N150" s="27"/>
      <c r="O150" s="27">
        <v>90.867999999999995</v>
      </c>
      <c r="P150" s="20" t="s">
        <v>15</v>
      </c>
      <c r="Q150" s="27" t="s">
        <v>99</v>
      </c>
      <c r="R150" s="28">
        <v>540</v>
      </c>
      <c r="S150" s="28">
        <v>0</v>
      </c>
      <c r="T150" s="28">
        <v>0</v>
      </c>
      <c r="U150" s="28"/>
      <c r="V150" s="28">
        <v>540</v>
      </c>
      <c r="W150" s="28">
        <f>O150*V150</f>
        <v>49068.719999999994</v>
      </c>
      <c r="X150" s="28">
        <v>730</v>
      </c>
      <c r="Y150" s="28">
        <v>0</v>
      </c>
      <c r="Z150" s="28">
        <v>0</v>
      </c>
      <c r="AA150" s="28"/>
      <c r="AB150" s="28">
        <f t="shared" ref="AB150:AB152" si="75">SUM(X150:Z150)</f>
        <v>730</v>
      </c>
      <c r="AC150" s="28">
        <f>AB150*O150</f>
        <v>66333.64</v>
      </c>
      <c r="AD150" s="28">
        <f t="shared" ref="AD150:AD152" si="76">AC150-W150</f>
        <v>17264.920000000006</v>
      </c>
      <c r="AE150" s="38" t="s">
        <v>328</v>
      </c>
      <c r="AF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32" x14ac:dyDescent="0.2">
      <c r="A151" s="3"/>
      <c r="B151" s="3" t="s">
        <v>295</v>
      </c>
      <c r="C151" s="3"/>
      <c r="D151" s="3" t="s">
        <v>297</v>
      </c>
      <c r="E151" s="3" t="s">
        <v>12</v>
      </c>
      <c r="F151" s="3" t="s">
        <v>117</v>
      </c>
      <c r="G151" s="81" t="s">
        <v>226</v>
      </c>
      <c r="H151" s="60"/>
      <c r="I151" s="60">
        <f t="shared" si="74"/>
        <v>60</v>
      </c>
      <c r="J151" s="62"/>
      <c r="K151" s="37"/>
      <c r="L151" s="27" t="s">
        <v>227</v>
      </c>
      <c r="M151" s="27" t="s">
        <v>376</v>
      </c>
      <c r="N151" s="27"/>
      <c r="O151" s="27">
        <v>93.171999999999997</v>
      </c>
      <c r="P151" s="20" t="s">
        <v>15</v>
      </c>
      <c r="Q151" s="27" t="s">
        <v>99</v>
      </c>
      <c r="R151" s="28">
        <v>540</v>
      </c>
      <c r="S151" s="28">
        <v>0</v>
      </c>
      <c r="T151" s="28">
        <v>0</v>
      </c>
      <c r="U151" s="28"/>
      <c r="V151" s="28">
        <v>540</v>
      </c>
      <c r="W151" s="28">
        <f>O151*V151</f>
        <v>50312.88</v>
      </c>
      <c r="X151" s="28">
        <v>730</v>
      </c>
      <c r="Y151" s="28">
        <v>0</v>
      </c>
      <c r="Z151" s="28">
        <v>0</v>
      </c>
      <c r="AA151" s="28"/>
      <c r="AB151" s="28">
        <f t="shared" ref="AB151" si="77">SUM(X151:Z151)</f>
        <v>730</v>
      </c>
      <c r="AC151" s="28">
        <f>AB151*O151</f>
        <v>68015.56</v>
      </c>
      <c r="AD151" s="28">
        <f t="shared" ref="AD151" si="78">AC151-W151</f>
        <v>17702.68</v>
      </c>
      <c r="AE151" s="38" t="s">
        <v>328</v>
      </c>
      <c r="AF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32" x14ac:dyDescent="0.2">
      <c r="A152" s="3"/>
      <c r="B152" s="3" t="s">
        <v>295</v>
      </c>
      <c r="C152" s="3"/>
      <c r="D152" s="3" t="s">
        <v>298</v>
      </c>
      <c r="E152" s="3" t="s">
        <v>12</v>
      </c>
      <c r="F152" s="3" t="s">
        <v>117</v>
      </c>
      <c r="G152" s="81" t="s">
        <v>226</v>
      </c>
      <c r="H152" s="60"/>
      <c r="I152" s="60">
        <f t="shared" si="74"/>
        <v>60</v>
      </c>
      <c r="J152" s="62"/>
      <c r="K152" s="37"/>
      <c r="L152" s="27" t="s">
        <v>227</v>
      </c>
      <c r="M152" s="27" t="s">
        <v>376</v>
      </c>
      <c r="N152" s="27"/>
      <c r="O152" s="27">
        <v>93.622</v>
      </c>
      <c r="P152" s="20" t="s">
        <v>15</v>
      </c>
      <c r="Q152" s="27" t="s">
        <v>99</v>
      </c>
      <c r="R152" s="28">
        <v>540</v>
      </c>
      <c r="S152" s="28">
        <v>0</v>
      </c>
      <c r="T152" s="28">
        <v>0</v>
      </c>
      <c r="U152" s="28"/>
      <c r="V152" s="28">
        <v>540</v>
      </c>
      <c r="W152" s="28">
        <f>O152*V152</f>
        <v>50555.88</v>
      </c>
      <c r="X152" s="28">
        <v>730</v>
      </c>
      <c r="Y152" s="28">
        <v>0</v>
      </c>
      <c r="Z152" s="28">
        <v>0</v>
      </c>
      <c r="AA152" s="28"/>
      <c r="AB152" s="28">
        <f t="shared" si="75"/>
        <v>730</v>
      </c>
      <c r="AC152" s="28">
        <f>AB152*O152</f>
        <v>68344.06</v>
      </c>
      <c r="AD152" s="28">
        <f t="shared" si="76"/>
        <v>17788.18</v>
      </c>
      <c r="AE152" s="38" t="s">
        <v>328</v>
      </c>
      <c r="AF152" s="14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20" x14ac:dyDescent="0.25">
      <c r="A153" s="6"/>
      <c r="B153" s="6"/>
      <c r="C153" s="7"/>
      <c r="D153" s="7"/>
      <c r="E153" s="7"/>
      <c r="F153" s="7"/>
      <c r="G153" s="7"/>
      <c r="H153" s="7"/>
      <c r="I153" s="60"/>
      <c r="J153" s="62"/>
      <c r="K153" s="7"/>
      <c r="L153" s="24" t="s">
        <v>17</v>
      </c>
      <c r="M153" s="24"/>
      <c r="N153" s="24"/>
      <c r="O153" s="24">
        <f>+SUM(O150:O152)</f>
        <v>277.66199999999998</v>
      </c>
      <c r="P153" s="8"/>
      <c r="Q153" s="24"/>
      <c r="R153" s="24"/>
      <c r="S153" s="24"/>
      <c r="T153" s="24"/>
      <c r="U153" s="24"/>
      <c r="V153" s="24"/>
      <c r="W153" s="25">
        <f>+SUM(W150:W152)</f>
        <v>149937.47999999998</v>
      </c>
      <c r="X153" s="24"/>
      <c r="Y153" s="24"/>
      <c r="Z153" s="24"/>
      <c r="AA153" s="24"/>
      <c r="AB153" s="24"/>
      <c r="AC153" s="25">
        <f>+SUM(AC150:AC152)</f>
        <v>202693.26</v>
      </c>
      <c r="AD153" s="25">
        <f>+SUM(AD150:AD152)</f>
        <v>52755.780000000006</v>
      </c>
      <c r="AI153" s="3"/>
    </row>
    <row r="154" spans="1:44" ht="32" x14ac:dyDescent="0.2">
      <c r="A154" s="3"/>
      <c r="B154" s="3" t="s">
        <v>299</v>
      </c>
      <c r="C154" s="3"/>
      <c r="D154" s="3" t="s">
        <v>300</v>
      </c>
      <c r="E154" s="3" t="s">
        <v>12</v>
      </c>
      <c r="F154" s="3" t="s">
        <v>116</v>
      </c>
      <c r="G154" s="3" t="s">
        <v>109</v>
      </c>
      <c r="H154" s="60"/>
      <c r="I154" s="60">
        <f t="shared" ref="I154:I160" si="79">H154+60</f>
        <v>60</v>
      </c>
      <c r="J154" s="62"/>
      <c r="K154" s="3"/>
      <c r="L154" s="27" t="s">
        <v>239</v>
      </c>
      <c r="M154" s="27" t="s">
        <v>375</v>
      </c>
      <c r="N154" s="27"/>
      <c r="O154" s="27">
        <v>89.507999999999996</v>
      </c>
      <c r="P154" s="20" t="s">
        <v>15</v>
      </c>
      <c r="Q154" s="27" t="s">
        <v>99</v>
      </c>
      <c r="R154" s="28">
        <v>530</v>
      </c>
      <c r="S154" s="28">
        <v>0</v>
      </c>
      <c r="T154" s="28">
        <v>0</v>
      </c>
      <c r="U154" s="28"/>
      <c r="V154" s="28">
        <v>530</v>
      </c>
      <c r="W154" s="28">
        <f>O154*V154</f>
        <v>47439.24</v>
      </c>
      <c r="X154" s="28">
        <v>720</v>
      </c>
      <c r="Y154" s="28">
        <v>0</v>
      </c>
      <c r="Z154" s="28">
        <v>0</v>
      </c>
      <c r="AA154" s="28"/>
      <c r="AB154" s="28">
        <f t="shared" ref="AB154:AB158" si="80">SUM(X154:Z154)</f>
        <v>720</v>
      </c>
      <c r="AC154" s="28">
        <f>AB154*O154</f>
        <v>64445.759999999995</v>
      </c>
      <c r="AD154" s="28">
        <f t="shared" ref="AD154:AD158" si="81">AC154-W154</f>
        <v>17006.519999999997</v>
      </c>
      <c r="AE154" s="38" t="s">
        <v>326</v>
      </c>
      <c r="AF154" s="3"/>
      <c r="AG154" s="14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32" x14ac:dyDescent="0.2">
      <c r="A155" s="3"/>
      <c r="B155" s="3" t="s">
        <v>299</v>
      </c>
      <c r="C155" s="3"/>
      <c r="D155" s="3" t="s">
        <v>301</v>
      </c>
      <c r="E155" s="3" t="s">
        <v>12</v>
      </c>
      <c r="F155" s="3" t="s">
        <v>117</v>
      </c>
      <c r="G155" s="3" t="s">
        <v>109</v>
      </c>
      <c r="H155" s="60"/>
      <c r="I155" s="60">
        <f t="shared" si="79"/>
        <v>60</v>
      </c>
      <c r="J155" s="62"/>
      <c r="K155" s="3"/>
      <c r="L155" s="27" t="s">
        <v>239</v>
      </c>
      <c r="M155" s="27" t="s">
        <v>375</v>
      </c>
      <c r="N155" s="27"/>
      <c r="O155" s="27">
        <v>91.522000000000006</v>
      </c>
      <c r="P155" s="20" t="s">
        <v>15</v>
      </c>
      <c r="Q155" s="27" t="s">
        <v>99</v>
      </c>
      <c r="R155" s="28">
        <v>530</v>
      </c>
      <c r="S155" s="28">
        <v>0</v>
      </c>
      <c r="T155" s="28">
        <v>0</v>
      </c>
      <c r="U155" s="28"/>
      <c r="V155" s="28">
        <v>530</v>
      </c>
      <c r="W155" s="28">
        <f>O155*V155</f>
        <v>48506.66</v>
      </c>
      <c r="X155" s="28">
        <v>720</v>
      </c>
      <c r="Y155" s="28">
        <v>0</v>
      </c>
      <c r="Z155" s="28">
        <v>0</v>
      </c>
      <c r="AA155" s="28"/>
      <c r="AB155" s="28">
        <f t="shared" si="80"/>
        <v>720</v>
      </c>
      <c r="AC155" s="28">
        <f>AB155*O155</f>
        <v>65895.840000000011</v>
      </c>
      <c r="AD155" s="28">
        <f t="shared" si="81"/>
        <v>17389.180000000008</v>
      </c>
      <c r="AE155" s="38" t="s">
        <v>326</v>
      </c>
      <c r="AF155" s="3"/>
      <c r="AG155" s="14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32" x14ac:dyDescent="0.2">
      <c r="A156" s="3"/>
      <c r="B156" s="3" t="s">
        <v>299</v>
      </c>
      <c r="C156" s="3"/>
      <c r="D156" s="3" t="s">
        <v>302</v>
      </c>
      <c r="E156" s="3" t="s">
        <v>12</v>
      </c>
      <c r="F156" s="3" t="s">
        <v>117</v>
      </c>
      <c r="G156" s="3" t="s">
        <v>109</v>
      </c>
      <c r="H156" s="60"/>
      <c r="I156" s="60">
        <f t="shared" si="79"/>
        <v>60</v>
      </c>
      <c r="J156" s="62"/>
      <c r="K156" s="3"/>
      <c r="L156" s="27" t="s">
        <v>119</v>
      </c>
      <c r="M156" s="27" t="s">
        <v>375</v>
      </c>
      <c r="N156" s="27"/>
      <c r="O156" s="27">
        <v>90.578000000000003</v>
      </c>
      <c r="P156" s="20" t="s">
        <v>15</v>
      </c>
      <c r="Q156" s="27" t="s">
        <v>99</v>
      </c>
      <c r="R156" s="28">
        <v>530</v>
      </c>
      <c r="S156" s="28">
        <v>0</v>
      </c>
      <c r="T156" s="28">
        <v>0</v>
      </c>
      <c r="U156" s="28"/>
      <c r="V156" s="28">
        <v>530</v>
      </c>
      <c r="W156" s="28">
        <f>O156*V156</f>
        <v>48006.340000000004</v>
      </c>
      <c r="X156" s="28">
        <v>720</v>
      </c>
      <c r="Y156" s="28">
        <v>0</v>
      </c>
      <c r="Z156" s="28">
        <v>0</v>
      </c>
      <c r="AA156" s="28"/>
      <c r="AB156" s="28">
        <f t="shared" si="80"/>
        <v>720</v>
      </c>
      <c r="AC156" s="28">
        <f>AB156*O156</f>
        <v>65216.160000000003</v>
      </c>
      <c r="AD156" s="28">
        <f t="shared" si="81"/>
        <v>17209.82</v>
      </c>
      <c r="AE156" s="38" t="s">
        <v>326</v>
      </c>
      <c r="AF156" s="3"/>
      <c r="AG156" s="14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32" x14ac:dyDescent="0.2">
      <c r="A157" s="3"/>
      <c r="B157" s="3" t="s">
        <v>299</v>
      </c>
      <c r="C157" s="3"/>
      <c r="D157" s="3" t="s">
        <v>303</v>
      </c>
      <c r="E157" s="3" t="s">
        <v>12</v>
      </c>
      <c r="F157" s="3" t="s">
        <v>117</v>
      </c>
      <c r="G157" s="3" t="s">
        <v>109</v>
      </c>
      <c r="H157" s="60"/>
      <c r="I157" s="60">
        <f t="shared" si="79"/>
        <v>60</v>
      </c>
      <c r="J157" s="62"/>
      <c r="K157" s="3"/>
      <c r="L157" s="27" t="s">
        <v>119</v>
      </c>
      <c r="M157" s="27" t="s">
        <v>375</v>
      </c>
      <c r="N157" s="27"/>
      <c r="O157" s="27">
        <v>92.653999999999996</v>
      </c>
      <c r="P157" s="20" t="s">
        <v>15</v>
      </c>
      <c r="Q157" s="27" t="s">
        <v>99</v>
      </c>
      <c r="R157" s="28">
        <v>530</v>
      </c>
      <c r="S157" s="28">
        <v>0</v>
      </c>
      <c r="T157" s="28">
        <v>0</v>
      </c>
      <c r="U157" s="28"/>
      <c r="V157" s="28">
        <v>530</v>
      </c>
      <c r="W157" s="28">
        <f>O157*V157</f>
        <v>49106.619999999995</v>
      </c>
      <c r="X157" s="28">
        <v>720</v>
      </c>
      <c r="Y157" s="28">
        <v>0</v>
      </c>
      <c r="Z157" s="28">
        <v>0</v>
      </c>
      <c r="AA157" s="28"/>
      <c r="AB157" s="28">
        <f t="shared" si="80"/>
        <v>720</v>
      </c>
      <c r="AC157" s="28">
        <f>AB157*O157</f>
        <v>66710.880000000005</v>
      </c>
      <c r="AD157" s="28">
        <f t="shared" si="81"/>
        <v>17604.260000000009</v>
      </c>
      <c r="AE157" s="38" t="s">
        <v>326</v>
      </c>
      <c r="AF157" s="3"/>
      <c r="AG157" s="14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32" x14ac:dyDescent="0.2">
      <c r="A158" s="3"/>
      <c r="B158" s="3" t="s">
        <v>299</v>
      </c>
      <c r="C158" s="3"/>
      <c r="D158" s="3" t="s">
        <v>304</v>
      </c>
      <c r="E158" s="3" t="s">
        <v>12</v>
      </c>
      <c r="F158" s="3" t="s">
        <v>117</v>
      </c>
      <c r="G158" s="3" t="s">
        <v>109</v>
      </c>
      <c r="H158" s="60"/>
      <c r="I158" s="60">
        <f t="shared" si="79"/>
        <v>60</v>
      </c>
      <c r="J158" s="62"/>
      <c r="K158" s="3"/>
      <c r="L158" s="27" t="s">
        <v>242</v>
      </c>
      <c r="M158" s="27" t="s">
        <v>375</v>
      </c>
      <c r="N158" s="27"/>
      <c r="O158" s="27">
        <v>92.802000000000007</v>
      </c>
      <c r="P158" s="20" t="s">
        <v>15</v>
      </c>
      <c r="Q158" s="27" t="s">
        <v>99</v>
      </c>
      <c r="R158" s="28">
        <v>530</v>
      </c>
      <c r="S158" s="28">
        <v>0</v>
      </c>
      <c r="T158" s="28">
        <v>0</v>
      </c>
      <c r="U158" s="28"/>
      <c r="V158" s="28">
        <v>530</v>
      </c>
      <c r="W158" s="28">
        <f>O158*V158</f>
        <v>49185.060000000005</v>
      </c>
      <c r="X158" s="28">
        <v>720</v>
      </c>
      <c r="Y158" s="28">
        <v>0</v>
      </c>
      <c r="Z158" s="28">
        <v>0</v>
      </c>
      <c r="AA158" s="28"/>
      <c r="AB158" s="28">
        <f t="shared" si="80"/>
        <v>720</v>
      </c>
      <c r="AC158" s="28">
        <f>AB158*O158</f>
        <v>66817.440000000002</v>
      </c>
      <c r="AD158" s="28">
        <f t="shared" si="81"/>
        <v>17632.379999999997</v>
      </c>
      <c r="AE158" s="38" t="s">
        <v>326</v>
      </c>
      <c r="AF158" s="3"/>
      <c r="AG158" s="14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32" x14ac:dyDescent="0.2">
      <c r="A159" s="3"/>
      <c r="B159" s="3" t="s">
        <v>299</v>
      </c>
      <c r="C159" s="3"/>
      <c r="D159" s="3" t="s">
        <v>305</v>
      </c>
      <c r="E159" s="3" t="s">
        <v>12</v>
      </c>
      <c r="F159" s="3" t="s">
        <v>117</v>
      </c>
      <c r="G159" s="3" t="s">
        <v>109</v>
      </c>
      <c r="H159" s="60"/>
      <c r="I159" s="60">
        <f t="shared" si="79"/>
        <v>60</v>
      </c>
      <c r="J159" s="62"/>
      <c r="K159" s="3"/>
      <c r="L159" s="27" t="s">
        <v>242</v>
      </c>
      <c r="M159" s="27" t="s">
        <v>375</v>
      </c>
      <c r="N159" s="27"/>
      <c r="O159" s="27">
        <v>93.066999999999993</v>
      </c>
      <c r="P159" s="20" t="s">
        <v>15</v>
      </c>
      <c r="Q159" s="27" t="s">
        <v>99</v>
      </c>
      <c r="R159" s="28">
        <v>530</v>
      </c>
      <c r="S159" s="28">
        <v>0</v>
      </c>
      <c r="T159" s="28">
        <v>0</v>
      </c>
      <c r="U159" s="28"/>
      <c r="V159" s="28">
        <v>530</v>
      </c>
      <c r="W159" s="28">
        <f>O159*V159</f>
        <v>49325.509999999995</v>
      </c>
      <c r="X159" s="28">
        <v>720</v>
      </c>
      <c r="Y159" s="28">
        <v>0</v>
      </c>
      <c r="Z159" s="28">
        <v>0</v>
      </c>
      <c r="AA159" s="28"/>
      <c r="AB159" s="28">
        <f t="shared" ref="AB159" si="82">SUM(X159:Z159)</f>
        <v>720</v>
      </c>
      <c r="AC159" s="28">
        <f>AB159*O159</f>
        <v>67008.239999999991</v>
      </c>
      <c r="AD159" s="28">
        <f t="shared" ref="AD159" si="83">AC159-W159</f>
        <v>17682.729999999996</v>
      </c>
      <c r="AE159" s="38" t="s">
        <v>326</v>
      </c>
      <c r="AF159" s="3"/>
      <c r="AG159" s="14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32" x14ac:dyDescent="0.2">
      <c r="A160" s="3"/>
      <c r="B160" s="3" t="s">
        <v>299</v>
      </c>
      <c r="C160" s="3"/>
      <c r="D160" s="3" t="s">
        <v>306</v>
      </c>
      <c r="E160" s="3" t="s">
        <v>12</v>
      </c>
      <c r="F160" s="3" t="s">
        <v>117</v>
      </c>
      <c r="G160" s="3" t="s">
        <v>109</v>
      </c>
      <c r="H160" s="60"/>
      <c r="I160" s="60">
        <f t="shared" si="79"/>
        <v>60</v>
      </c>
      <c r="J160" s="62"/>
      <c r="K160" s="3"/>
      <c r="L160" s="27"/>
      <c r="M160" s="27" t="s">
        <v>375</v>
      </c>
      <c r="N160" s="27"/>
      <c r="O160" s="27">
        <v>90.614000000000004</v>
      </c>
      <c r="P160" s="20" t="s">
        <v>15</v>
      </c>
      <c r="Q160" s="27" t="s">
        <v>99</v>
      </c>
      <c r="R160" s="28">
        <v>530</v>
      </c>
      <c r="S160" s="28">
        <v>0</v>
      </c>
      <c r="T160" s="28">
        <v>0</v>
      </c>
      <c r="U160" s="28"/>
      <c r="V160" s="28">
        <v>530</v>
      </c>
      <c r="W160" s="28">
        <f>O160*V160</f>
        <v>48025.420000000006</v>
      </c>
      <c r="X160" s="28">
        <v>720</v>
      </c>
      <c r="Y160" s="28">
        <v>0</v>
      </c>
      <c r="Z160" s="28">
        <v>0</v>
      </c>
      <c r="AA160" s="28"/>
      <c r="AB160" s="28">
        <f t="shared" ref="AB160" si="84">SUM(X160:Z160)</f>
        <v>720</v>
      </c>
      <c r="AC160" s="28">
        <f>AB160*O160</f>
        <v>65242.080000000002</v>
      </c>
      <c r="AD160" s="28">
        <f t="shared" ref="AD160" si="85">AC160-W160</f>
        <v>17216.659999999996</v>
      </c>
      <c r="AE160" s="38" t="s">
        <v>327</v>
      </c>
      <c r="AF160" s="3"/>
      <c r="AG160" s="14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20" x14ac:dyDescent="0.25">
      <c r="A161" s="6"/>
      <c r="B161" s="6"/>
      <c r="C161" s="7"/>
      <c r="D161" s="7"/>
      <c r="E161" s="7"/>
      <c r="F161" s="7"/>
      <c r="G161" s="7"/>
      <c r="H161" s="7"/>
      <c r="I161" s="60"/>
      <c r="J161" s="62"/>
      <c r="K161" s="7"/>
      <c r="L161" s="24" t="s">
        <v>17</v>
      </c>
      <c r="M161" s="24"/>
      <c r="N161" s="24"/>
      <c r="O161" s="24">
        <f>+SUM(O154:O160)</f>
        <v>640.745</v>
      </c>
      <c r="P161" s="8"/>
      <c r="Q161" s="24"/>
      <c r="R161" s="24"/>
      <c r="S161" s="24"/>
      <c r="T161" s="24"/>
      <c r="U161" s="24"/>
      <c r="V161" s="24"/>
      <c r="W161" s="25">
        <f>+SUM(W154:W160)</f>
        <v>339594.85</v>
      </c>
      <c r="X161" s="24"/>
      <c r="Y161" s="24"/>
      <c r="Z161" s="24"/>
      <c r="AA161" s="24"/>
      <c r="AB161" s="24"/>
      <c r="AC161" s="25">
        <f>+SUM(AC154:AC160)</f>
        <v>461336.4</v>
      </c>
      <c r="AD161" s="25">
        <f>+SUM(AD154:AD160)</f>
        <v>121741.54999999999</v>
      </c>
    </row>
    <row r="162" spans="1:44" ht="32" x14ac:dyDescent="0.2">
      <c r="A162" s="3"/>
      <c r="B162" s="3" t="s">
        <v>333</v>
      </c>
      <c r="C162" s="3"/>
      <c r="D162" s="3" t="s">
        <v>334</v>
      </c>
      <c r="E162" s="3" t="s">
        <v>12</v>
      </c>
      <c r="F162" s="3" t="s">
        <v>116</v>
      </c>
      <c r="G162" s="3" t="s">
        <v>109</v>
      </c>
      <c r="H162" s="60"/>
      <c r="I162" s="60">
        <v>46010</v>
      </c>
      <c r="J162" s="62"/>
      <c r="K162" s="3"/>
      <c r="L162" s="27" t="s">
        <v>241</v>
      </c>
      <c r="M162" s="27" t="s">
        <v>375</v>
      </c>
      <c r="N162" s="27"/>
      <c r="O162" s="27">
        <v>89.722999999999999</v>
      </c>
      <c r="P162" s="20" t="s">
        <v>15</v>
      </c>
      <c r="Q162" s="27" t="s">
        <v>99</v>
      </c>
      <c r="R162" s="28">
        <v>540</v>
      </c>
      <c r="S162" s="28">
        <v>0</v>
      </c>
      <c r="T162" s="28">
        <v>0</v>
      </c>
      <c r="U162" s="28"/>
      <c r="V162" s="28">
        <v>540</v>
      </c>
      <c r="W162" s="28">
        <f>O162*V162</f>
        <v>48450.42</v>
      </c>
      <c r="X162" s="28">
        <v>705</v>
      </c>
      <c r="Y162" s="28">
        <v>0</v>
      </c>
      <c r="Z162" s="28">
        <v>0</v>
      </c>
      <c r="AA162" s="28"/>
      <c r="AB162" s="28">
        <f t="shared" ref="AB162:AB168" si="86">SUM(X162:Z162)</f>
        <v>705</v>
      </c>
      <c r="AC162" s="28">
        <f>AB162*O162</f>
        <v>63254.714999999997</v>
      </c>
      <c r="AD162" s="28">
        <f t="shared" ref="AD162:AD168" si="87">AC162-W162</f>
        <v>14804.294999999998</v>
      </c>
      <c r="AE162" s="38" t="s">
        <v>343</v>
      </c>
      <c r="AF162" s="3"/>
      <c r="AG162" s="14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32" x14ac:dyDescent="0.2">
      <c r="A163" s="3"/>
      <c r="B163" s="3" t="s">
        <v>333</v>
      </c>
      <c r="C163" s="3"/>
      <c r="D163" s="3" t="s">
        <v>335</v>
      </c>
      <c r="E163" s="3" t="s">
        <v>12</v>
      </c>
      <c r="F163" s="3" t="s">
        <v>117</v>
      </c>
      <c r="G163" s="3" t="s">
        <v>109</v>
      </c>
      <c r="H163" s="60"/>
      <c r="I163" s="60">
        <v>46010</v>
      </c>
      <c r="J163" s="62"/>
      <c r="K163" s="3"/>
      <c r="L163" s="27" t="s">
        <v>241</v>
      </c>
      <c r="M163" s="27" t="s">
        <v>375</v>
      </c>
      <c r="N163" s="27"/>
      <c r="O163" s="27">
        <v>93.305999999999997</v>
      </c>
      <c r="P163" s="20" t="s">
        <v>15</v>
      </c>
      <c r="Q163" s="27" t="s">
        <v>99</v>
      </c>
      <c r="R163" s="28">
        <v>540</v>
      </c>
      <c r="S163" s="28">
        <v>0</v>
      </c>
      <c r="T163" s="28">
        <v>0</v>
      </c>
      <c r="U163" s="28"/>
      <c r="V163" s="28">
        <v>540</v>
      </c>
      <c r="W163" s="28">
        <f>O163*V163</f>
        <v>50385.24</v>
      </c>
      <c r="X163" s="28">
        <v>705</v>
      </c>
      <c r="Y163" s="28">
        <v>0</v>
      </c>
      <c r="Z163" s="28">
        <v>0</v>
      </c>
      <c r="AA163" s="28"/>
      <c r="AB163" s="28">
        <f t="shared" si="86"/>
        <v>705</v>
      </c>
      <c r="AC163" s="28">
        <f>AB163*O163</f>
        <v>65780.73</v>
      </c>
      <c r="AD163" s="28">
        <f t="shared" si="87"/>
        <v>15395.489999999998</v>
      </c>
      <c r="AE163" s="38" t="s">
        <v>343</v>
      </c>
      <c r="AF163" s="3"/>
      <c r="AG163" s="14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32" x14ac:dyDescent="0.2">
      <c r="A164" s="3"/>
      <c r="B164" s="3" t="s">
        <v>333</v>
      </c>
      <c r="C164" s="3"/>
      <c r="D164" s="3" t="s">
        <v>336</v>
      </c>
      <c r="E164" s="3" t="s">
        <v>12</v>
      </c>
      <c r="F164" s="3" t="s">
        <v>117</v>
      </c>
      <c r="G164" s="3" t="s">
        <v>109</v>
      </c>
      <c r="H164" s="60"/>
      <c r="I164" s="60">
        <v>46010</v>
      </c>
      <c r="J164" s="62"/>
      <c r="K164" s="3"/>
      <c r="L164" s="27" t="s">
        <v>241</v>
      </c>
      <c r="M164" s="27" t="s">
        <v>375</v>
      </c>
      <c r="N164" s="27"/>
      <c r="O164" s="27">
        <v>92.510999999999996</v>
      </c>
      <c r="P164" s="20" t="s">
        <v>15</v>
      </c>
      <c r="Q164" s="27" t="s">
        <v>99</v>
      </c>
      <c r="R164" s="28">
        <v>540</v>
      </c>
      <c r="S164" s="28">
        <v>0</v>
      </c>
      <c r="T164" s="28">
        <v>0</v>
      </c>
      <c r="U164" s="28"/>
      <c r="V164" s="28">
        <v>540</v>
      </c>
      <c r="W164" s="28">
        <f>O164*V164</f>
        <v>49955.939999999995</v>
      </c>
      <c r="X164" s="28">
        <v>705</v>
      </c>
      <c r="Y164" s="28">
        <v>0</v>
      </c>
      <c r="Z164" s="28">
        <v>0</v>
      </c>
      <c r="AA164" s="28"/>
      <c r="AB164" s="28">
        <f t="shared" si="86"/>
        <v>705</v>
      </c>
      <c r="AC164" s="28">
        <f>AB164*O164</f>
        <v>65220.254999999997</v>
      </c>
      <c r="AD164" s="28">
        <f t="shared" si="87"/>
        <v>15264.315000000002</v>
      </c>
      <c r="AE164" s="38" t="s">
        <v>343</v>
      </c>
      <c r="AF164" s="3"/>
      <c r="AG164" s="14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32" x14ac:dyDescent="0.2">
      <c r="A165" s="3"/>
      <c r="B165" s="3" t="s">
        <v>333</v>
      </c>
      <c r="C165" s="3"/>
      <c r="D165" s="3" t="s">
        <v>340</v>
      </c>
      <c r="E165" s="3" t="s">
        <v>12</v>
      </c>
      <c r="F165" s="3" t="s">
        <v>117</v>
      </c>
      <c r="G165" s="3" t="s">
        <v>109</v>
      </c>
      <c r="H165" s="60"/>
      <c r="I165" s="60">
        <v>46013</v>
      </c>
      <c r="J165" s="62"/>
      <c r="K165" s="3"/>
      <c r="L165" s="27" t="s">
        <v>241</v>
      </c>
      <c r="M165" s="27" t="s">
        <v>375</v>
      </c>
      <c r="N165" s="27"/>
      <c r="O165" s="27">
        <v>89.551000000000002</v>
      </c>
      <c r="P165" s="20" t="s">
        <v>15</v>
      </c>
      <c r="Q165" s="27" t="s">
        <v>99</v>
      </c>
      <c r="R165" s="28">
        <v>540</v>
      </c>
      <c r="S165" s="28">
        <v>0</v>
      </c>
      <c r="T165" s="28">
        <v>0</v>
      </c>
      <c r="U165" s="28"/>
      <c r="V165" s="28">
        <v>540</v>
      </c>
      <c r="W165" s="28">
        <f>O165*V165</f>
        <v>48357.54</v>
      </c>
      <c r="X165" s="28">
        <v>705</v>
      </c>
      <c r="Y165" s="28">
        <v>0</v>
      </c>
      <c r="Z165" s="28">
        <v>0</v>
      </c>
      <c r="AA165" s="28"/>
      <c r="AB165" s="28">
        <f t="shared" si="86"/>
        <v>705</v>
      </c>
      <c r="AC165" s="28">
        <f>AB165*O165</f>
        <v>63133.455000000002</v>
      </c>
      <c r="AD165" s="28">
        <f t="shared" si="87"/>
        <v>14775.915000000001</v>
      </c>
      <c r="AE165" s="38" t="s">
        <v>343</v>
      </c>
      <c r="AF165" s="3"/>
      <c r="AG165" s="14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32" x14ac:dyDescent="0.2">
      <c r="A166" s="3"/>
      <c r="B166" s="3" t="s">
        <v>333</v>
      </c>
      <c r="C166" s="3"/>
      <c r="D166" s="3" t="s">
        <v>337</v>
      </c>
      <c r="E166" s="3" t="s">
        <v>12</v>
      </c>
      <c r="F166" s="3" t="s">
        <v>117</v>
      </c>
      <c r="G166" s="3" t="s">
        <v>109</v>
      </c>
      <c r="H166" s="60"/>
      <c r="I166" s="60">
        <v>46013</v>
      </c>
      <c r="J166" s="62"/>
      <c r="K166" s="3"/>
      <c r="L166" s="27" t="s">
        <v>239</v>
      </c>
      <c r="M166" s="27" t="s">
        <v>375</v>
      </c>
      <c r="N166" s="27"/>
      <c r="O166" s="27">
        <v>90.239000000000004</v>
      </c>
      <c r="P166" s="20" t="s">
        <v>15</v>
      </c>
      <c r="Q166" s="27" t="s">
        <v>99</v>
      </c>
      <c r="R166" s="28">
        <v>540</v>
      </c>
      <c r="S166" s="28">
        <v>0</v>
      </c>
      <c r="T166" s="28">
        <v>0</v>
      </c>
      <c r="U166" s="28"/>
      <c r="V166" s="28">
        <v>540</v>
      </c>
      <c r="W166" s="28">
        <f>O166*V166</f>
        <v>48729.060000000005</v>
      </c>
      <c r="X166" s="28">
        <v>705</v>
      </c>
      <c r="Y166" s="28">
        <v>0</v>
      </c>
      <c r="Z166" s="28">
        <v>0</v>
      </c>
      <c r="AA166" s="28"/>
      <c r="AB166" s="28">
        <f t="shared" si="86"/>
        <v>705</v>
      </c>
      <c r="AC166" s="28">
        <f>AB166*O166</f>
        <v>63618.495000000003</v>
      </c>
      <c r="AD166" s="28">
        <f t="shared" si="87"/>
        <v>14889.434999999998</v>
      </c>
      <c r="AE166" s="38" t="s">
        <v>345</v>
      </c>
      <c r="AF166" s="3"/>
      <c r="AG166" s="14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32" x14ac:dyDescent="0.2">
      <c r="A167" s="3"/>
      <c r="B167" s="3" t="s">
        <v>333</v>
      </c>
      <c r="C167" s="3"/>
      <c r="D167" s="3" t="s">
        <v>338</v>
      </c>
      <c r="E167" s="3" t="s">
        <v>12</v>
      </c>
      <c r="F167" s="3" t="s">
        <v>117</v>
      </c>
      <c r="G167" s="3" t="s">
        <v>109</v>
      </c>
      <c r="H167" s="60"/>
      <c r="I167" s="60">
        <v>46013</v>
      </c>
      <c r="J167" s="62"/>
      <c r="K167" s="3"/>
      <c r="L167" s="27" t="s">
        <v>239</v>
      </c>
      <c r="M167" s="27" t="s">
        <v>375</v>
      </c>
      <c r="N167" s="27"/>
      <c r="O167" s="27">
        <v>86.611000000000004</v>
      </c>
      <c r="P167" s="20" t="s">
        <v>15</v>
      </c>
      <c r="Q167" s="27" t="s">
        <v>99</v>
      </c>
      <c r="R167" s="28">
        <v>540</v>
      </c>
      <c r="S167" s="28">
        <v>0</v>
      </c>
      <c r="T167" s="28">
        <v>0</v>
      </c>
      <c r="U167" s="28"/>
      <c r="V167" s="28">
        <v>540</v>
      </c>
      <c r="W167" s="28">
        <f>O167*V167</f>
        <v>46769.94</v>
      </c>
      <c r="X167" s="28">
        <v>705</v>
      </c>
      <c r="Y167" s="28">
        <v>0</v>
      </c>
      <c r="Z167" s="28">
        <v>0</v>
      </c>
      <c r="AA167" s="28"/>
      <c r="AB167" s="28">
        <f t="shared" si="86"/>
        <v>705</v>
      </c>
      <c r="AC167" s="28">
        <f>AB167*O167</f>
        <v>61060.755000000005</v>
      </c>
      <c r="AD167" s="28">
        <f t="shared" si="87"/>
        <v>14290.815000000002</v>
      </c>
      <c r="AE167" s="38" t="s">
        <v>345</v>
      </c>
      <c r="AF167" s="3"/>
      <c r="AG167" s="14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32" x14ac:dyDescent="0.2">
      <c r="A168" s="3"/>
      <c r="B168" s="3" t="s">
        <v>333</v>
      </c>
      <c r="C168" s="3"/>
      <c r="D168" s="3" t="s">
        <v>339</v>
      </c>
      <c r="E168" s="3" t="s">
        <v>12</v>
      </c>
      <c r="F168" s="3" t="s">
        <v>117</v>
      </c>
      <c r="G168" s="3" t="s">
        <v>109</v>
      </c>
      <c r="H168" s="60"/>
      <c r="I168" s="60">
        <v>46013</v>
      </c>
      <c r="J168" s="62"/>
      <c r="K168" s="3"/>
      <c r="L168" s="27" t="s">
        <v>239</v>
      </c>
      <c r="M168" s="27" t="s">
        <v>375</v>
      </c>
      <c r="N168" s="27"/>
      <c r="O168" s="27">
        <v>89.984999999999999</v>
      </c>
      <c r="P168" s="20" t="s">
        <v>15</v>
      </c>
      <c r="Q168" s="27" t="s">
        <v>99</v>
      </c>
      <c r="R168" s="28">
        <v>540</v>
      </c>
      <c r="S168" s="28">
        <v>0</v>
      </c>
      <c r="T168" s="28">
        <v>0</v>
      </c>
      <c r="U168" s="28"/>
      <c r="V168" s="28">
        <v>540</v>
      </c>
      <c r="W168" s="28">
        <f>O168*V168</f>
        <v>48591.9</v>
      </c>
      <c r="X168" s="28">
        <v>705</v>
      </c>
      <c r="Y168" s="28">
        <v>0</v>
      </c>
      <c r="Z168" s="28">
        <v>0</v>
      </c>
      <c r="AA168" s="28"/>
      <c r="AB168" s="28">
        <f t="shared" si="86"/>
        <v>705</v>
      </c>
      <c r="AC168" s="28">
        <f>AB168*O168</f>
        <v>63439.425000000003</v>
      </c>
      <c r="AD168" s="28">
        <f t="shared" si="87"/>
        <v>14847.525000000001</v>
      </c>
      <c r="AE168" s="38" t="s">
        <v>345</v>
      </c>
      <c r="AF168" s="3"/>
      <c r="AG168" s="14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20" x14ac:dyDescent="0.25">
      <c r="A169" s="6"/>
      <c r="B169" s="6"/>
      <c r="C169" s="7"/>
      <c r="D169" s="7"/>
      <c r="E169" s="7"/>
      <c r="F169" s="7"/>
      <c r="G169" s="7"/>
      <c r="H169" s="7"/>
      <c r="I169" s="60"/>
      <c r="J169" s="62"/>
      <c r="K169" s="7"/>
      <c r="L169" s="24" t="s">
        <v>17</v>
      </c>
      <c r="M169" s="24"/>
      <c r="N169" s="24"/>
      <c r="O169" s="24">
        <f>+SUM(O162:O168)</f>
        <v>631.92599999999993</v>
      </c>
      <c r="P169" s="8"/>
      <c r="Q169" s="24"/>
      <c r="R169" s="24"/>
      <c r="S169" s="24"/>
      <c r="T169" s="24"/>
      <c r="U169" s="24"/>
      <c r="V169" s="24"/>
      <c r="W169" s="25">
        <f>+SUM(W162:W168)</f>
        <v>341240.04000000004</v>
      </c>
      <c r="X169" s="24"/>
      <c r="Y169" s="24"/>
      <c r="Z169" s="24"/>
      <c r="AA169" s="24"/>
      <c r="AB169" s="24"/>
      <c r="AC169" s="25">
        <f>+SUM(AC162:AC168)</f>
        <v>445507.82999999996</v>
      </c>
      <c r="AD169" s="25">
        <f>+SUM(AD162:AD168)</f>
        <v>104267.79000000001</v>
      </c>
    </row>
    <row r="170" spans="1:44" ht="32" x14ac:dyDescent="0.2">
      <c r="A170" s="3"/>
      <c r="B170" s="3" t="s">
        <v>362</v>
      </c>
      <c r="C170" s="3"/>
      <c r="D170" s="3" t="s">
        <v>363</v>
      </c>
      <c r="E170" s="3" t="s">
        <v>12</v>
      </c>
      <c r="F170" s="3" t="s">
        <v>116</v>
      </c>
      <c r="G170" s="3" t="s">
        <v>109</v>
      </c>
      <c r="H170" s="60"/>
      <c r="I170" s="60">
        <v>46010</v>
      </c>
      <c r="J170" s="62"/>
      <c r="K170" s="3"/>
      <c r="L170" s="27" t="s">
        <v>239</v>
      </c>
      <c r="M170" s="27" t="s">
        <v>375</v>
      </c>
      <c r="N170" s="27"/>
      <c r="O170" s="27">
        <v>95.144999999999996</v>
      </c>
      <c r="P170" s="20" t="s">
        <v>15</v>
      </c>
      <c r="Q170" s="27" t="s">
        <v>99</v>
      </c>
      <c r="R170" s="28">
        <v>545</v>
      </c>
      <c r="S170" s="28">
        <v>0</v>
      </c>
      <c r="T170" s="28">
        <v>0</v>
      </c>
      <c r="U170" s="28"/>
      <c r="V170" s="28">
        <v>545</v>
      </c>
      <c r="W170" s="28">
        <f>O170*V170</f>
        <v>51854.025000000001</v>
      </c>
      <c r="X170" s="28">
        <v>675</v>
      </c>
      <c r="Y170" s="28">
        <v>0</v>
      </c>
      <c r="Z170" s="28">
        <v>0</v>
      </c>
      <c r="AA170" s="28"/>
      <c r="AB170" s="28">
        <f>SUM(X170:Z170)</f>
        <v>675</v>
      </c>
      <c r="AC170" s="28">
        <f>AB170*O170</f>
        <v>64222.875</v>
      </c>
      <c r="AD170" s="28">
        <f>AC170-W170</f>
        <v>12368.849999999999</v>
      </c>
      <c r="AE170" s="38"/>
      <c r="AF170" s="3"/>
      <c r="AG170" s="14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32" x14ac:dyDescent="0.2">
      <c r="A171" s="3"/>
      <c r="B171" s="3" t="s">
        <v>362</v>
      </c>
      <c r="C171" s="3"/>
      <c r="D171" s="3" t="s">
        <v>364</v>
      </c>
      <c r="E171" s="3" t="s">
        <v>12</v>
      </c>
      <c r="F171" s="3" t="s">
        <v>117</v>
      </c>
      <c r="G171" s="3" t="s">
        <v>109</v>
      </c>
      <c r="H171" s="60"/>
      <c r="I171" s="60">
        <v>46010</v>
      </c>
      <c r="J171" s="62"/>
      <c r="K171" s="3"/>
      <c r="L171" s="27" t="s">
        <v>239</v>
      </c>
      <c r="M171" s="27" t="s">
        <v>375</v>
      </c>
      <c r="N171" s="27"/>
      <c r="O171" s="27">
        <v>92.417000000000002</v>
      </c>
      <c r="P171" s="20" t="s">
        <v>15</v>
      </c>
      <c r="Q171" s="27" t="s">
        <v>99</v>
      </c>
      <c r="R171" s="28">
        <v>545</v>
      </c>
      <c r="S171" s="28">
        <v>0</v>
      </c>
      <c r="T171" s="28">
        <v>0</v>
      </c>
      <c r="U171" s="28"/>
      <c r="V171" s="28">
        <v>545</v>
      </c>
      <c r="W171" s="28">
        <f>O171*V171</f>
        <v>50367.264999999999</v>
      </c>
      <c r="X171" s="28">
        <v>675</v>
      </c>
      <c r="Y171" s="28">
        <v>0</v>
      </c>
      <c r="Z171" s="28">
        <v>0</v>
      </c>
      <c r="AA171" s="28"/>
      <c r="AB171" s="28">
        <f>SUM(X171:Z171)</f>
        <v>675</v>
      </c>
      <c r="AC171" s="28">
        <f>AB171*O171</f>
        <v>62381.474999999999</v>
      </c>
      <c r="AD171" s="28">
        <f>AC171-W171</f>
        <v>12014.21</v>
      </c>
      <c r="AE171" s="38"/>
      <c r="AF171" s="3"/>
      <c r="AG171" s="14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32" x14ac:dyDescent="0.2">
      <c r="A172" s="3"/>
      <c r="B172" s="3" t="s">
        <v>362</v>
      </c>
      <c r="C172" s="3"/>
      <c r="D172" s="3" t="s">
        <v>365</v>
      </c>
      <c r="E172" s="3" t="s">
        <v>12</v>
      </c>
      <c r="F172" s="3" t="s">
        <v>117</v>
      </c>
      <c r="G172" s="3" t="s">
        <v>109</v>
      </c>
      <c r="H172" s="60"/>
      <c r="I172" s="60">
        <v>46010</v>
      </c>
      <c r="J172" s="62"/>
      <c r="K172" s="3"/>
      <c r="L172" s="27" t="s">
        <v>285</v>
      </c>
      <c r="M172" s="27" t="s">
        <v>375</v>
      </c>
      <c r="N172" s="27"/>
      <c r="O172" s="27">
        <v>94.603999999999999</v>
      </c>
      <c r="P172" s="20" t="s">
        <v>15</v>
      </c>
      <c r="Q172" s="27" t="s">
        <v>99</v>
      </c>
      <c r="R172" s="28">
        <v>545</v>
      </c>
      <c r="S172" s="28">
        <v>0</v>
      </c>
      <c r="T172" s="28">
        <v>0</v>
      </c>
      <c r="U172" s="28"/>
      <c r="V172" s="28">
        <v>545</v>
      </c>
      <c r="W172" s="28">
        <f>O172*V172</f>
        <v>51559.18</v>
      </c>
      <c r="X172" s="28">
        <v>675</v>
      </c>
      <c r="Y172" s="28">
        <v>0</v>
      </c>
      <c r="Z172" s="28">
        <v>0</v>
      </c>
      <c r="AA172" s="28"/>
      <c r="AB172" s="28">
        <f>SUM(X172:Z172)</f>
        <v>675</v>
      </c>
      <c r="AC172" s="28">
        <f>AB172*O172</f>
        <v>63857.7</v>
      </c>
      <c r="AD172" s="28">
        <f>AC172-W172</f>
        <v>12298.519999999997</v>
      </c>
      <c r="AE172" s="38"/>
      <c r="AF172" s="3"/>
      <c r="AG172" s="14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32" x14ac:dyDescent="0.2">
      <c r="A173" s="3"/>
      <c r="B173" s="3" t="s">
        <v>362</v>
      </c>
      <c r="C173" s="3"/>
      <c r="D173" s="3" t="s">
        <v>366</v>
      </c>
      <c r="E173" s="3" t="s">
        <v>12</v>
      </c>
      <c r="F173" s="3" t="s">
        <v>117</v>
      </c>
      <c r="G173" s="3" t="s">
        <v>109</v>
      </c>
      <c r="H173" s="60"/>
      <c r="I173" s="60">
        <v>46013</v>
      </c>
      <c r="J173" s="62"/>
      <c r="K173" s="3"/>
      <c r="L173" s="27" t="s">
        <v>285</v>
      </c>
      <c r="M173" s="27" t="s">
        <v>375</v>
      </c>
      <c r="N173" s="27"/>
      <c r="O173" s="27">
        <v>92.742000000000004</v>
      </c>
      <c r="P173" s="20" t="s">
        <v>15</v>
      </c>
      <c r="Q173" s="27" t="s">
        <v>99</v>
      </c>
      <c r="R173" s="28">
        <v>545</v>
      </c>
      <c r="S173" s="28">
        <v>0</v>
      </c>
      <c r="T173" s="28">
        <v>0</v>
      </c>
      <c r="U173" s="28"/>
      <c r="V173" s="28">
        <v>545</v>
      </c>
      <c r="W173" s="28">
        <f>O173*V173</f>
        <v>50544.39</v>
      </c>
      <c r="X173" s="28">
        <v>675</v>
      </c>
      <c r="Y173" s="28">
        <v>0</v>
      </c>
      <c r="Z173" s="28">
        <v>0</v>
      </c>
      <c r="AA173" s="28"/>
      <c r="AB173" s="28">
        <f>SUM(X173:Z173)</f>
        <v>675</v>
      </c>
      <c r="AC173" s="28">
        <f>AB173*O173</f>
        <v>62600.850000000006</v>
      </c>
      <c r="AD173" s="28">
        <f>AC173-W173</f>
        <v>12056.460000000006</v>
      </c>
      <c r="AE173" s="38"/>
      <c r="AF173" s="3"/>
      <c r="AG173" s="14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32" x14ac:dyDescent="0.2">
      <c r="A174" s="3"/>
      <c r="B174" s="3" t="s">
        <v>362</v>
      </c>
      <c r="C174" s="3"/>
      <c r="D174" s="3" t="s">
        <v>367</v>
      </c>
      <c r="E174" s="3" t="s">
        <v>12</v>
      </c>
      <c r="F174" s="3" t="s">
        <v>117</v>
      </c>
      <c r="G174" s="3" t="s">
        <v>109</v>
      </c>
      <c r="H174" s="60"/>
      <c r="I174" s="60">
        <v>46013</v>
      </c>
      <c r="J174" s="62"/>
      <c r="K174" s="3"/>
      <c r="L174" s="27" t="s">
        <v>241</v>
      </c>
      <c r="M174" s="27" t="s">
        <v>375</v>
      </c>
      <c r="N174" s="27"/>
      <c r="O174" s="27">
        <v>91.683000000000007</v>
      </c>
      <c r="P174" s="20" t="s">
        <v>15</v>
      </c>
      <c r="Q174" s="27" t="s">
        <v>99</v>
      </c>
      <c r="R174" s="28">
        <v>545</v>
      </c>
      <c r="S174" s="28">
        <v>0</v>
      </c>
      <c r="T174" s="28">
        <v>0</v>
      </c>
      <c r="U174" s="28"/>
      <c r="V174" s="28">
        <v>545</v>
      </c>
      <c r="W174" s="28">
        <f>O174*V174</f>
        <v>49967.235000000001</v>
      </c>
      <c r="X174" s="28">
        <v>675</v>
      </c>
      <c r="Y174" s="28">
        <v>0</v>
      </c>
      <c r="Z174" s="28">
        <v>0</v>
      </c>
      <c r="AA174" s="28"/>
      <c r="AB174" s="28">
        <f>SUM(X174:Z174)</f>
        <v>675</v>
      </c>
      <c r="AC174" s="28">
        <f>AB174*O174</f>
        <v>61886.025000000001</v>
      </c>
      <c r="AD174" s="28">
        <f>AC174-W174</f>
        <v>11918.79</v>
      </c>
      <c r="AE174" s="38"/>
      <c r="AF174" s="3"/>
      <c r="AG174" s="14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32" x14ac:dyDescent="0.2">
      <c r="A175" s="3"/>
      <c r="B175" s="3" t="s">
        <v>362</v>
      </c>
      <c r="C175" s="3"/>
      <c r="D175" s="3" t="s">
        <v>368</v>
      </c>
      <c r="E175" s="3" t="s">
        <v>12</v>
      </c>
      <c r="F175" s="3" t="s">
        <v>117</v>
      </c>
      <c r="G175" s="3" t="s">
        <v>109</v>
      </c>
      <c r="H175" s="60"/>
      <c r="I175" s="60">
        <v>46013</v>
      </c>
      <c r="J175" s="62"/>
      <c r="K175" s="3"/>
      <c r="L175" s="27" t="s">
        <v>241</v>
      </c>
      <c r="M175" s="27" t="s">
        <v>375</v>
      </c>
      <c r="N175" s="27"/>
      <c r="O175" s="27">
        <v>91.53</v>
      </c>
      <c r="P175" s="20" t="s">
        <v>15</v>
      </c>
      <c r="Q175" s="27" t="s">
        <v>99</v>
      </c>
      <c r="R175" s="28">
        <v>545</v>
      </c>
      <c r="S175" s="28">
        <v>0</v>
      </c>
      <c r="T175" s="28">
        <v>0</v>
      </c>
      <c r="U175" s="28"/>
      <c r="V175" s="28">
        <v>545</v>
      </c>
      <c r="W175" s="28">
        <f>O175*V175</f>
        <v>49883.85</v>
      </c>
      <c r="X175" s="28">
        <v>675</v>
      </c>
      <c r="Y175" s="28">
        <v>0</v>
      </c>
      <c r="Z175" s="28">
        <v>0</v>
      </c>
      <c r="AA175" s="28"/>
      <c r="AB175" s="28">
        <f>SUM(X175:Z175)</f>
        <v>675</v>
      </c>
      <c r="AC175" s="28">
        <f>AB175*O175</f>
        <v>61782.75</v>
      </c>
      <c r="AD175" s="28">
        <f>AC175-W175</f>
        <v>11898.900000000001</v>
      </c>
      <c r="AE175" s="38"/>
      <c r="AF175" s="3"/>
      <c r="AG175" s="14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20" x14ac:dyDescent="0.25">
      <c r="A176" s="6"/>
      <c r="B176" s="6"/>
      <c r="C176" s="7"/>
      <c r="D176" s="7"/>
      <c r="E176" s="7"/>
      <c r="F176" s="7"/>
      <c r="G176" s="7"/>
      <c r="H176" s="7"/>
      <c r="I176" s="60"/>
      <c r="J176" s="62"/>
      <c r="K176" s="7"/>
      <c r="L176" s="24" t="s">
        <v>17</v>
      </c>
      <c r="M176" s="24"/>
      <c r="N176" s="24"/>
      <c r="O176" s="24">
        <f>+SUM(O170:O175)</f>
        <v>558.12099999999998</v>
      </c>
      <c r="P176" s="8"/>
      <c r="Q176" s="24"/>
      <c r="R176" s="24"/>
      <c r="S176" s="24"/>
      <c r="T176" s="24"/>
      <c r="U176" s="24"/>
      <c r="V176" s="24"/>
      <c r="W176" s="25">
        <f>+SUM(W170:W175)</f>
        <v>304175.94499999995</v>
      </c>
      <c r="X176" s="24"/>
      <c r="Y176" s="24"/>
      <c r="Z176" s="24"/>
      <c r="AA176" s="24"/>
      <c r="AB176" s="24"/>
      <c r="AC176" s="25">
        <f>+SUM(AC170:AC175)</f>
        <v>376731.67499999999</v>
      </c>
      <c r="AD176" s="25">
        <f>+SUM(AD170:AD175)</f>
        <v>72555.73000000001</v>
      </c>
    </row>
    <row r="177" spans="1:44" ht="32" x14ac:dyDescent="0.2">
      <c r="A177" s="3"/>
      <c r="B177" s="3" t="s">
        <v>369</v>
      </c>
      <c r="C177" s="3"/>
      <c r="D177" s="3" t="s">
        <v>370</v>
      </c>
      <c r="E177" s="3" t="s">
        <v>12</v>
      </c>
      <c r="F177" s="3" t="s">
        <v>116</v>
      </c>
      <c r="G177" s="3" t="s">
        <v>109</v>
      </c>
      <c r="H177" s="60"/>
      <c r="I177" s="60">
        <v>46010</v>
      </c>
      <c r="J177" s="62"/>
      <c r="K177" s="3"/>
      <c r="L177" s="27" t="s">
        <v>199</v>
      </c>
      <c r="M177" s="27" t="s">
        <v>375</v>
      </c>
      <c r="N177" s="27"/>
      <c r="O177" s="27">
        <v>91.822000000000003</v>
      </c>
      <c r="P177" s="20" t="s">
        <v>15</v>
      </c>
      <c r="Q177" s="27" t="s">
        <v>99</v>
      </c>
      <c r="R177" s="28">
        <v>550</v>
      </c>
      <c r="S177" s="28">
        <v>0</v>
      </c>
      <c r="T177" s="28">
        <v>0</v>
      </c>
      <c r="U177" s="28"/>
      <c r="V177" s="28">
        <v>550</v>
      </c>
      <c r="W177" s="28">
        <f>O177*V177</f>
        <v>50502.1</v>
      </c>
      <c r="X177" s="28">
        <v>665</v>
      </c>
      <c r="Y177" s="28">
        <v>0</v>
      </c>
      <c r="Z177" s="28">
        <v>0</v>
      </c>
      <c r="AA177" s="28"/>
      <c r="AB177" s="28">
        <f>SUM(X177:Z177)</f>
        <v>665</v>
      </c>
      <c r="AC177" s="28">
        <f>AB177*O177</f>
        <v>61061.630000000005</v>
      </c>
      <c r="AD177" s="28">
        <f>AC177-W177</f>
        <v>10559.530000000006</v>
      </c>
      <c r="AE177" s="38"/>
      <c r="AF177" s="3"/>
      <c r="AG177" s="14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32" x14ac:dyDescent="0.2">
      <c r="A178" s="3"/>
      <c r="B178" s="3" t="s">
        <v>369</v>
      </c>
      <c r="C178" s="3"/>
      <c r="D178" s="3" t="s">
        <v>371</v>
      </c>
      <c r="E178" s="3" t="s">
        <v>12</v>
      </c>
      <c r="F178" s="3" t="s">
        <v>117</v>
      </c>
      <c r="G178" s="3" t="s">
        <v>109</v>
      </c>
      <c r="H178" s="60"/>
      <c r="I178" s="60">
        <v>46010</v>
      </c>
      <c r="J178" s="62"/>
      <c r="K178" s="3"/>
      <c r="L178" s="27" t="s">
        <v>241</v>
      </c>
      <c r="M178" s="27" t="s">
        <v>375</v>
      </c>
      <c r="N178" s="27"/>
      <c r="O178" s="27">
        <v>94.114000000000004</v>
      </c>
      <c r="P178" s="20" t="s">
        <v>15</v>
      </c>
      <c r="Q178" s="27" t="s">
        <v>99</v>
      </c>
      <c r="R178" s="28">
        <v>550</v>
      </c>
      <c r="S178" s="28">
        <v>0</v>
      </c>
      <c r="T178" s="28">
        <v>0</v>
      </c>
      <c r="U178" s="28"/>
      <c r="V178" s="28">
        <v>550</v>
      </c>
      <c r="W178" s="28">
        <f>O178*V178</f>
        <v>51762.700000000004</v>
      </c>
      <c r="X178" s="28">
        <v>665</v>
      </c>
      <c r="Y178" s="28">
        <v>0</v>
      </c>
      <c r="Z178" s="28">
        <v>0</v>
      </c>
      <c r="AA178" s="28"/>
      <c r="AB178" s="28">
        <f>SUM(X178:Z178)</f>
        <v>665</v>
      </c>
      <c r="AC178" s="28">
        <f>AB178*O178</f>
        <v>62585.810000000005</v>
      </c>
      <c r="AD178" s="28">
        <f>AC178-W178</f>
        <v>10823.11</v>
      </c>
      <c r="AE178" s="38"/>
      <c r="AF178" s="3"/>
      <c r="AG178" s="14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32" x14ac:dyDescent="0.2">
      <c r="A179" s="3"/>
      <c r="B179" s="3" t="s">
        <v>369</v>
      </c>
      <c r="C179" s="3"/>
      <c r="D179" s="3" t="s">
        <v>382</v>
      </c>
      <c r="E179" s="3" t="s">
        <v>12</v>
      </c>
      <c r="F179" s="3" t="s">
        <v>117</v>
      </c>
      <c r="G179" s="3" t="s">
        <v>109</v>
      </c>
      <c r="H179" s="60"/>
      <c r="I179" s="60">
        <v>46010</v>
      </c>
      <c r="J179" s="62"/>
      <c r="K179" s="3"/>
      <c r="L179" s="27" t="s">
        <v>241</v>
      </c>
      <c r="M179" s="27" t="s">
        <v>375</v>
      </c>
      <c r="N179" s="27"/>
      <c r="O179" s="27">
        <v>89.117999999999995</v>
      </c>
      <c r="P179" s="20" t="s">
        <v>15</v>
      </c>
      <c r="Q179" s="27" t="s">
        <v>99</v>
      </c>
      <c r="R179" s="28">
        <v>550</v>
      </c>
      <c r="S179" s="28">
        <v>0</v>
      </c>
      <c r="T179" s="28">
        <v>0</v>
      </c>
      <c r="U179" s="28"/>
      <c r="V179" s="28">
        <v>550</v>
      </c>
      <c r="W179" s="28">
        <f>O179*V179</f>
        <v>49014.899999999994</v>
      </c>
      <c r="X179" s="28">
        <v>665</v>
      </c>
      <c r="Y179" s="28">
        <v>0</v>
      </c>
      <c r="Z179" s="28">
        <v>0</v>
      </c>
      <c r="AA179" s="28"/>
      <c r="AB179" s="28">
        <f>SUM(X179:Z179)</f>
        <v>665</v>
      </c>
      <c r="AC179" s="28">
        <f>AB179*O179</f>
        <v>59263.469999999994</v>
      </c>
      <c r="AD179" s="28">
        <f>AC179-W179</f>
        <v>10248.57</v>
      </c>
      <c r="AE179" s="38"/>
      <c r="AF179" s="3"/>
      <c r="AG179" s="14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32" x14ac:dyDescent="0.2">
      <c r="A180" s="3"/>
      <c r="B180" s="3" t="s">
        <v>369</v>
      </c>
      <c r="C180" s="3"/>
      <c r="D180" s="3" t="s">
        <v>383</v>
      </c>
      <c r="E180" s="3" t="s">
        <v>12</v>
      </c>
      <c r="F180" s="3" t="s">
        <v>117</v>
      </c>
      <c r="G180" s="3" t="s">
        <v>109</v>
      </c>
      <c r="H180" s="60"/>
      <c r="I180" s="60">
        <v>46013</v>
      </c>
      <c r="J180" s="62"/>
      <c r="K180" s="3"/>
      <c r="L180" s="27" t="s">
        <v>241</v>
      </c>
      <c r="M180" s="27" t="s">
        <v>375</v>
      </c>
      <c r="N180" s="27"/>
      <c r="O180" s="27">
        <v>90.197000000000003</v>
      </c>
      <c r="P180" s="20" t="s">
        <v>15</v>
      </c>
      <c r="Q180" s="27" t="s">
        <v>99</v>
      </c>
      <c r="R180" s="28">
        <v>550</v>
      </c>
      <c r="S180" s="28">
        <v>0</v>
      </c>
      <c r="T180" s="28">
        <v>0</v>
      </c>
      <c r="U180" s="28"/>
      <c r="V180" s="28">
        <v>550</v>
      </c>
      <c r="W180" s="28">
        <f>O180*V180</f>
        <v>49608.35</v>
      </c>
      <c r="X180" s="28">
        <v>665</v>
      </c>
      <c r="Y180" s="28">
        <v>0</v>
      </c>
      <c r="Z180" s="28">
        <v>0</v>
      </c>
      <c r="AA180" s="28"/>
      <c r="AB180" s="28">
        <f>SUM(X180:Z180)</f>
        <v>665</v>
      </c>
      <c r="AC180" s="28">
        <f>AB180*O180</f>
        <v>59981.005000000005</v>
      </c>
      <c r="AD180" s="28">
        <f>AC180-W180</f>
        <v>10372.655000000006</v>
      </c>
      <c r="AE180" s="38"/>
      <c r="AF180" s="3"/>
      <c r="AG180" s="14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32" x14ac:dyDescent="0.2">
      <c r="A181" s="3"/>
      <c r="B181" s="3" t="s">
        <v>369</v>
      </c>
      <c r="C181" s="3"/>
      <c r="D181" s="3" t="s">
        <v>384</v>
      </c>
      <c r="E181" s="3" t="s">
        <v>12</v>
      </c>
      <c r="F181" s="3" t="s">
        <v>117</v>
      </c>
      <c r="G181" s="3" t="s">
        <v>109</v>
      </c>
      <c r="H181" s="60"/>
      <c r="I181" s="60">
        <v>46013</v>
      </c>
      <c r="J181" s="62"/>
      <c r="K181" s="3"/>
      <c r="L181" s="27" t="s">
        <v>240</v>
      </c>
      <c r="M181" s="27" t="s">
        <v>375</v>
      </c>
      <c r="N181" s="27"/>
      <c r="O181" s="27">
        <v>90.45</v>
      </c>
      <c r="P181" s="20" t="s">
        <v>15</v>
      </c>
      <c r="Q181" s="27" t="s">
        <v>99</v>
      </c>
      <c r="R181" s="28">
        <v>550</v>
      </c>
      <c r="S181" s="28">
        <v>0</v>
      </c>
      <c r="T181" s="28">
        <v>0</v>
      </c>
      <c r="U181" s="28"/>
      <c r="V181" s="28">
        <v>550</v>
      </c>
      <c r="W181" s="28">
        <f>O181*V181</f>
        <v>49747.5</v>
      </c>
      <c r="X181" s="28">
        <v>665</v>
      </c>
      <c r="Y181" s="28">
        <v>0</v>
      </c>
      <c r="Z181" s="28">
        <v>0</v>
      </c>
      <c r="AA181" s="28"/>
      <c r="AB181" s="28">
        <f>SUM(X181:Z181)</f>
        <v>665</v>
      </c>
      <c r="AC181" s="28">
        <f>AB181*O181</f>
        <v>60149.25</v>
      </c>
      <c r="AD181" s="28">
        <f>AC181-W181</f>
        <v>10401.75</v>
      </c>
      <c r="AE181" s="38"/>
      <c r="AF181" s="3"/>
      <c r="AG181" s="14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32" x14ac:dyDescent="0.2">
      <c r="A182" s="3"/>
      <c r="B182" s="3" t="s">
        <v>369</v>
      </c>
      <c r="C182" s="3"/>
      <c r="D182" s="3" t="s">
        <v>385</v>
      </c>
      <c r="E182" s="3" t="s">
        <v>12</v>
      </c>
      <c r="F182" s="3" t="s">
        <v>117</v>
      </c>
      <c r="G182" s="3" t="s">
        <v>109</v>
      </c>
      <c r="H182" s="60"/>
      <c r="I182" s="60">
        <v>46013</v>
      </c>
      <c r="J182" s="62"/>
      <c r="K182" s="3"/>
      <c r="L182" s="27" t="s">
        <v>119</v>
      </c>
      <c r="M182" s="27" t="s">
        <v>375</v>
      </c>
      <c r="N182" s="27"/>
      <c r="O182" s="27">
        <v>90.772000000000006</v>
      </c>
      <c r="P182" s="20" t="s">
        <v>15</v>
      </c>
      <c r="Q182" s="27" t="s">
        <v>99</v>
      </c>
      <c r="R182" s="28">
        <v>550</v>
      </c>
      <c r="S182" s="28">
        <v>0</v>
      </c>
      <c r="T182" s="28">
        <v>0</v>
      </c>
      <c r="U182" s="28"/>
      <c r="V182" s="28">
        <v>550</v>
      </c>
      <c r="W182" s="28">
        <f>O182*V182</f>
        <v>49924.600000000006</v>
      </c>
      <c r="X182" s="28">
        <v>665</v>
      </c>
      <c r="Y182" s="28">
        <v>0</v>
      </c>
      <c r="Z182" s="28">
        <v>0</v>
      </c>
      <c r="AA182" s="28"/>
      <c r="AB182" s="28">
        <f>SUM(X182:Z182)</f>
        <v>665</v>
      </c>
      <c r="AC182" s="28">
        <f>AB182*O182</f>
        <v>60363.380000000005</v>
      </c>
      <c r="AD182" s="28">
        <f>AC182-W182</f>
        <v>10438.779999999999</v>
      </c>
      <c r="AE182" s="38"/>
      <c r="AF182" s="3"/>
      <c r="AG182" s="14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20" x14ac:dyDescent="0.25">
      <c r="A183" s="6"/>
      <c r="B183" s="6"/>
      <c r="C183" s="7"/>
      <c r="D183" s="7"/>
      <c r="E183" s="7"/>
      <c r="F183" s="7"/>
      <c r="G183" s="7"/>
      <c r="H183" s="7"/>
      <c r="I183" s="60"/>
      <c r="J183" s="62"/>
      <c r="K183" s="7"/>
      <c r="L183" s="24" t="s">
        <v>17</v>
      </c>
      <c r="M183" s="24"/>
      <c r="N183" s="24"/>
      <c r="O183" s="24">
        <f>+SUM(O177:O182)</f>
        <v>546.47299999999996</v>
      </c>
      <c r="P183" s="8"/>
      <c r="Q183" s="24"/>
      <c r="R183" s="24"/>
      <c r="S183" s="24"/>
      <c r="T183" s="24"/>
      <c r="U183" s="24"/>
      <c r="V183" s="24"/>
      <c r="W183" s="25">
        <f>+SUM(W177:W182)</f>
        <v>300560.15000000002</v>
      </c>
      <c r="X183" s="24"/>
      <c r="Y183" s="24"/>
      <c r="Z183" s="24"/>
      <c r="AA183" s="24"/>
      <c r="AB183" s="24"/>
      <c r="AC183" s="25">
        <f>+SUM(AC177:AC182)</f>
        <v>363404.54500000004</v>
      </c>
      <c r="AD183" s="25">
        <f>+SUM(AD177:AD182)</f>
        <v>62844.395000000011</v>
      </c>
    </row>
    <row r="184" spans="1:44" ht="32" x14ac:dyDescent="0.2">
      <c r="A184" s="3"/>
      <c r="B184" s="3" t="s">
        <v>386</v>
      </c>
      <c r="C184" s="3"/>
      <c r="D184" s="3" t="s">
        <v>387</v>
      </c>
      <c r="E184" s="3" t="s">
        <v>12</v>
      </c>
      <c r="F184" s="3" t="s">
        <v>116</v>
      </c>
      <c r="G184" s="3" t="s">
        <v>109</v>
      </c>
      <c r="H184" s="60"/>
      <c r="I184" s="60"/>
      <c r="J184" s="62"/>
      <c r="K184" s="3"/>
      <c r="L184" s="27" t="s">
        <v>239</v>
      </c>
      <c r="M184" s="27" t="s">
        <v>375</v>
      </c>
      <c r="N184" s="27"/>
      <c r="O184" s="27">
        <v>90.292000000000002</v>
      </c>
      <c r="P184" s="20" t="s">
        <v>15</v>
      </c>
      <c r="Q184" s="27" t="s">
        <v>99</v>
      </c>
      <c r="R184" s="28">
        <v>550</v>
      </c>
      <c r="S184" s="28">
        <v>0</v>
      </c>
      <c r="T184" s="28">
        <v>0</v>
      </c>
      <c r="U184" s="28"/>
      <c r="V184" s="28">
        <v>550</v>
      </c>
      <c r="W184" s="28">
        <f>O184*V184</f>
        <v>49660.6</v>
      </c>
      <c r="X184" s="28">
        <v>660</v>
      </c>
      <c r="Y184" s="28">
        <v>0</v>
      </c>
      <c r="Z184" s="28">
        <v>0</v>
      </c>
      <c r="AA184" s="28"/>
      <c r="AB184" s="28">
        <f>SUM(X184:Z184)</f>
        <v>660</v>
      </c>
      <c r="AC184" s="28">
        <f>AB184*O184</f>
        <v>59592.72</v>
      </c>
      <c r="AD184" s="28">
        <f>AC184-W184</f>
        <v>9932.1200000000026</v>
      </c>
      <c r="AE184" s="38"/>
      <c r="AF184" s="3"/>
      <c r="AG184" s="14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32" x14ac:dyDescent="0.2">
      <c r="A185" s="3"/>
      <c r="B185" s="3" t="s">
        <v>386</v>
      </c>
      <c r="C185" s="3"/>
      <c r="D185" s="3" t="s">
        <v>388</v>
      </c>
      <c r="E185" s="3" t="s">
        <v>12</v>
      </c>
      <c r="F185" s="3" t="s">
        <v>117</v>
      </c>
      <c r="G185" s="3" t="s">
        <v>109</v>
      </c>
      <c r="H185" s="60"/>
      <c r="I185" s="60"/>
      <c r="J185" s="62"/>
      <c r="K185" s="3"/>
      <c r="L185" s="27" t="s">
        <v>239</v>
      </c>
      <c r="M185" s="27" t="s">
        <v>375</v>
      </c>
      <c r="N185" s="27"/>
      <c r="O185" s="27">
        <v>92.272000000000006</v>
      </c>
      <c r="P185" s="20" t="s">
        <v>15</v>
      </c>
      <c r="Q185" s="27" t="s">
        <v>99</v>
      </c>
      <c r="R185" s="28">
        <v>550</v>
      </c>
      <c r="S185" s="28">
        <v>0</v>
      </c>
      <c r="T185" s="28">
        <v>0</v>
      </c>
      <c r="U185" s="28"/>
      <c r="V185" s="28">
        <v>550</v>
      </c>
      <c r="W185" s="28">
        <f>O185*V185</f>
        <v>50749.600000000006</v>
      </c>
      <c r="X185" s="28">
        <v>660</v>
      </c>
      <c r="Y185" s="28">
        <v>0</v>
      </c>
      <c r="Z185" s="28">
        <v>0</v>
      </c>
      <c r="AA185" s="28"/>
      <c r="AB185" s="28">
        <f>SUM(X185:Z185)</f>
        <v>660</v>
      </c>
      <c r="AC185" s="28">
        <f>AB185*O185</f>
        <v>60899.520000000004</v>
      </c>
      <c r="AD185" s="28">
        <f>AC185-W185</f>
        <v>10149.919999999998</v>
      </c>
      <c r="AE185" s="38"/>
      <c r="AF185" s="3"/>
      <c r="AG185" s="14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32" x14ac:dyDescent="0.2">
      <c r="A186" s="3"/>
      <c r="B186" s="3" t="s">
        <v>386</v>
      </c>
      <c r="C186" s="3"/>
      <c r="D186" s="3" t="s">
        <v>389</v>
      </c>
      <c r="E186" s="3" t="s">
        <v>12</v>
      </c>
      <c r="F186" s="3" t="s">
        <v>117</v>
      </c>
      <c r="G186" s="3" t="s">
        <v>109</v>
      </c>
      <c r="H186" s="60"/>
      <c r="I186" s="60"/>
      <c r="J186" s="62"/>
      <c r="K186" s="3"/>
      <c r="L186" s="27" t="s">
        <v>239</v>
      </c>
      <c r="M186" s="27" t="s">
        <v>375</v>
      </c>
      <c r="N186" s="27"/>
      <c r="O186" s="27">
        <v>90.067999999999998</v>
      </c>
      <c r="P186" s="20" t="s">
        <v>15</v>
      </c>
      <c r="Q186" s="27" t="s">
        <v>99</v>
      </c>
      <c r="R186" s="28">
        <v>550</v>
      </c>
      <c r="S186" s="28">
        <v>0</v>
      </c>
      <c r="T186" s="28">
        <v>0</v>
      </c>
      <c r="U186" s="28"/>
      <c r="V186" s="28">
        <v>550</v>
      </c>
      <c r="W186" s="28">
        <f>O186*V186</f>
        <v>49537.4</v>
      </c>
      <c r="X186" s="28">
        <v>660</v>
      </c>
      <c r="Y186" s="28">
        <v>0</v>
      </c>
      <c r="Z186" s="28">
        <v>0</v>
      </c>
      <c r="AA186" s="28"/>
      <c r="AB186" s="28">
        <f>SUM(X186:Z186)</f>
        <v>660</v>
      </c>
      <c r="AC186" s="28">
        <f>AB186*O186</f>
        <v>59444.88</v>
      </c>
      <c r="AD186" s="28">
        <f>AC186-W186</f>
        <v>9907.4799999999959</v>
      </c>
      <c r="AE186" s="38"/>
      <c r="AF186" s="3"/>
      <c r="AG186" s="14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32" x14ac:dyDescent="0.2">
      <c r="A187" s="3"/>
      <c r="B187" s="3" t="s">
        <v>386</v>
      </c>
      <c r="C187" s="3"/>
      <c r="D187" s="3" t="s">
        <v>390</v>
      </c>
      <c r="E187" s="3" t="s">
        <v>12</v>
      </c>
      <c r="F187" s="3" t="s">
        <v>117</v>
      </c>
      <c r="G187" s="3" t="s">
        <v>109</v>
      </c>
      <c r="H187" s="60"/>
      <c r="I187" s="60"/>
      <c r="J187" s="62"/>
      <c r="K187" s="3"/>
      <c r="L187" s="27" t="s">
        <v>241</v>
      </c>
      <c r="M187" s="27" t="s">
        <v>375</v>
      </c>
      <c r="N187" s="27"/>
      <c r="O187" s="27">
        <v>90.638000000000005</v>
      </c>
      <c r="P187" s="20" t="s">
        <v>15</v>
      </c>
      <c r="Q187" s="27" t="s">
        <v>99</v>
      </c>
      <c r="R187" s="28">
        <v>550</v>
      </c>
      <c r="S187" s="28">
        <v>0</v>
      </c>
      <c r="T187" s="28">
        <v>0</v>
      </c>
      <c r="U187" s="28"/>
      <c r="V187" s="28">
        <v>550</v>
      </c>
      <c r="W187" s="28">
        <f>O187*V187</f>
        <v>49850.9</v>
      </c>
      <c r="X187" s="28">
        <v>660</v>
      </c>
      <c r="Y187" s="28">
        <v>0</v>
      </c>
      <c r="Z187" s="28">
        <v>0</v>
      </c>
      <c r="AA187" s="28"/>
      <c r="AB187" s="28">
        <f>SUM(X187:Z187)</f>
        <v>660</v>
      </c>
      <c r="AC187" s="28">
        <f>AB187*O187</f>
        <v>59821.08</v>
      </c>
      <c r="AD187" s="28">
        <f>AC187-W187</f>
        <v>9970.18</v>
      </c>
      <c r="AE187" s="38"/>
      <c r="AF187" s="3"/>
      <c r="AG187" s="14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32" customHeight="1" x14ac:dyDescent="0.2">
      <c r="A188" s="3"/>
      <c r="B188" s="3" t="s">
        <v>386</v>
      </c>
      <c r="C188" s="3"/>
      <c r="D188" s="3" t="s">
        <v>391</v>
      </c>
      <c r="E188" s="3" t="s">
        <v>12</v>
      </c>
      <c r="F188" s="3" t="s">
        <v>117</v>
      </c>
      <c r="G188" s="3" t="s">
        <v>109</v>
      </c>
      <c r="H188" s="60"/>
      <c r="I188" s="60"/>
      <c r="J188" s="62"/>
      <c r="K188" s="3"/>
      <c r="L188" s="27" t="s">
        <v>241</v>
      </c>
      <c r="M188" s="27" t="s">
        <v>375</v>
      </c>
      <c r="N188" s="27"/>
      <c r="O188" s="27">
        <v>90.524000000000001</v>
      </c>
      <c r="P188" s="20" t="s">
        <v>15</v>
      </c>
      <c r="Q188" s="27" t="s">
        <v>99</v>
      </c>
      <c r="R188" s="28">
        <v>550</v>
      </c>
      <c r="S188" s="28">
        <v>0</v>
      </c>
      <c r="T188" s="28">
        <v>0</v>
      </c>
      <c r="U188" s="28"/>
      <c r="V188" s="28">
        <v>550</v>
      </c>
      <c r="W188" s="28">
        <f t="shared" ref="W188:W190" si="88">O188*V188</f>
        <v>49788.2</v>
      </c>
      <c r="X188" s="28">
        <v>660</v>
      </c>
      <c r="Y188" s="28">
        <v>0</v>
      </c>
      <c r="Z188" s="28">
        <v>0</v>
      </c>
      <c r="AA188" s="28"/>
      <c r="AB188" s="28">
        <f>SUM(X188:Z188)</f>
        <v>660</v>
      </c>
      <c r="AC188" s="28">
        <f>AB188*O188</f>
        <v>59745.840000000004</v>
      </c>
      <c r="AD188" s="28">
        <f>AC188-W188</f>
        <v>9957.6400000000067</v>
      </c>
      <c r="AE188" s="38"/>
      <c r="AF188" s="3"/>
      <c r="AG188" s="14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32" x14ac:dyDescent="0.2">
      <c r="A189" s="3"/>
      <c r="B189" s="3" t="s">
        <v>386</v>
      </c>
      <c r="C189" s="3"/>
      <c r="D189" s="3" t="s">
        <v>392</v>
      </c>
      <c r="E189" s="3" t="s">
        <v>12</v>
      </c>
      <c r="F189" s="3" t="s">
        <v>117</v>
      </c>
      <c r="G189" s="3" t="s">
        <v>109</v>
      </c>
      <c r="H189" s="60"/>
      <c r="I189" s="60"/>
      <c r="J189" s="62"/>
      <c r="K189" s="3"/>
      <c r="L189" s="27" t="s">
        <v>241</v>
      </c>
      <c r="M189" s="27" t="s">
        <v>375</v>
      </c>
      <c r="N189" s="27"/>
      <c r="O189" s="27">
        <v>91.745999999999995</v>
      </c>
      <c r="P189" s="20" t="s">
        <v>15</v>
      </c>
      <c r="Q189" s="27" t="s">
        <v>99</v>
      </c>
      <c r="R189" s="28">
        <v>550</v>
      </c>
      <c r="S189" s="28">
        <v>0</v>
      </c>
      <c r="T189" s="28">
        <v>0</v>
      </c>
      <c r="U189" s="28"/>
      <c r="V189" s="28">
        <v>550</v>
      </c>
      <c r="W189" s="28">
        <f t="shared" si="88"/>
        <v>50460.299999999996</v>
      </c>
      <c r="X189" s="28">
        <v>660</v>
      </c>
      <c r="Y189" s="28">
        <v>0</v>
      </c>
      <c r="Z189" s="28">
        <v>0</v>
      </c>
      <c r="AA189" s="28"/>
      <c r="AB189" s="28">
        <f>SUM(X189:Z189)</f>
        <v>660</v>
      </c>
      <c r="AC189" s="28">
        <f>AB189*O189</f>
        <v>60552.359999999993</v>
      </c>
      <c r="AD189" s="28">
        <f>AC189-W189</f>
        <v>10092.059999999998</v>
      </c>
      <c r="AE189" s="38"/>
      <c r="AF189" s="3"/>
      <c r="AG189" s="14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32" customHeight="1" x14ac:dyDescent="0.2">
      <c r="A190" s="3"/>
      <c r="B190" s="3" t="s">
        <v>386</v>
      </c>
      <c r="C190" s="3"/>
      <c r="D190" s="3" t="s">
        <v>393</v>
      </c>
      <c r="E190" s="3" t="s">
        <v>12</v>
      </c>
      <c r="F190" s="3" t="s">
        <v>117</v>
      </c>
      <c r="G190" s="3" t="s">
        <v>109</v>
      </c>
      <c r="H190" s="60"/>
      <c r="I190" s="60"/>
      <c r="J190" s="62"/>
      <c r="K190" s="3"/>
      <c r="L190" s="27" t="s">
        <v>242</v>
      </c>
      <c r="M190" s="27" t="s">
        <v>375</v>
      </c>
      <c r="N190" s="27"/>
      <c r="O190" s="27">
        <v>89.980999999999995</v>
      </c>
      <c r="P190" s="20" t="s">
        <v>15</v>
      </c>
      <c r="Q190" s="27" t="s">
        <v>99</v>
      </c>
      <c r="R190" s="28">
        <v>550</v>
      </c>
      <c r="S190" s="28">
        <v>0</v>
      </c>
      <c r="T190" s="28">
        <v>0</v>
      </c>
      <c r="U190" s="28"/>
      <c r="V190" s="28">
        <v>550</v>
      </c>
      <c r="W190" s="28">
        <f t="shared" si="88"/>
        <v>49489.549999999996</v>
      </c>
      <c r="X190" s="28">
        <v>660</v>
      </c>
      <c r="Y190" s="28">
        <v>0</v>
      </c>
      <c r="Z190" s="28">
        <v>0</v>
      </c>
      <c r="AA190" s="28"/>
      <c r="AB190" s="28">
        <f>SUM(X190:Z190)</f>
        <v>660</v>
      </c>
      <c r="AC190" s="28">
        <f>AB190*O190</f>
        <v>59387.46</v>
      </c>
      <c r="AD190" s="28">
        <f>AC190-W190</f>
        <v>9897.9100000000035</v>
      </c>
      <c r="AE190" s="38"/>
      <c r="AF190" s="3"/>
      <c r="AG190" s="14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32" customHeight="1" x14ac:dyDescent="0.2">
      <c r="A191" s="3"/>
      <c r="B191" s="3" t="s">
        <v>386</v>
      </c>
      <c r="C191" s="3"/>
      <c r="D191" s="3" t="s">
        <v>394</v>
      </c>
      <c r="E191" s="3" t="s">
        <v>12</v>
      </c>
      <c r="F191" s="3" t="s">
        <v>117</v>
      </c>
      <c r="G191" s="3" t="s">
        <v>109</v>
      </c>
      <c r="H191" s="60"/>
      <c r="I191" s="60"/>
      <c r="J191" s="62"/>
      <c r="K191" s="3"/>
      <c r="L191" s="27" t="s">
        <v>242</v>
      </c>
      <c r="M191" s="27" t="s">
        <v>375</v>
      </c>
      <c r="N191" s="27"/>
      <c r="O191" s="27">
        <v>88.281000000000006</v>
      </c>
      <c r="P191" s="20" t="s">
        <v>15</v>
      </c>
      <c r="Q191" s="27" t="s">
        <v>99</v>
      </c>
      <c r="R191" s="28">
        <v>550</v>
      </c>
      <c r="S191" s="28">
        <v>0</v>
      </c>
      <c r="T191" s="28">
        <v>0</v>
      </c>
      <c r="U191" s="28"/>
      <c r="V191" s="28">
        <v>550</v>
      </c>
      <c r="W191" s="28">
        <f t="shared" ref="W191" si="89">O191*V191</f>
        <v>48554.55</v>
      </c>
      <c r="X191" s="28">
        <v>660</v>
      </c>
      <c r="Y191" s="28">
        <v>0</v>
      </c>
      <c r="Z191" s="28">
        <v>0</v>
      </c>
      <c r="AA191" s="28"/>
      <c r="AB191" s="28">
        <f>SUM(X191:Z191)</f>
        <v>660</v>
      </c>
      <c r="AC191" s="28">
        <f>AB191*O191</f>
        <v>58265.460000000006</v>
      </c>
      <c r="AD191" s="28">
        <f>AC191-W191</f>
        <v>9710.9100000000035</v>
      </c>
      <c r="AE191" s="38"/>
      <c r="AF191" s="3"/>
      <c r="AG191" s="14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32" x14ac:dyDescent="0.2">
      <c r="A192" s="3"/>
      <c r="B192" s="3" t="s">
        <v>386</v>
      </c>
      <c r="C192" s="3"/>
      <c r="D192" s="3" t="s">
        <v>395</v>
      </c>
      <c r="E192" s="3" t="s">
        <v>12</v>
      </c>
      <c r="F192" s="3" t="s">
        <v>117</v>
      </c>
      <c r="G192" s="3" t="s">
        <v>109</v>
      </c>
      <c r="H192" s="60"/>
      <c r="I192" s="60"/>
      <c r="J192" s="62"/>
      <c r="K192" s="3"/>
      <c r="L192" s="27" t="s">
        <v>242</v>
      </c>
      <c r="M192" s="27" t="s">
        <v>375</v>
      </c>
      <c r="N192" s="27"/>
      <c r="O192" s="27">
        <v>92.100999999999999</v>
      </c>
      <c r="P192" s="20" t="s">
        <v>15</v>
      </c>
      <c r="Q192" s="27" t="s">
        <v>99</v>
      </c>
      <c r="R192" s="28">
        <v>550</v>
      </c>
      <c r="S192" s="28">
        <v>0</v>
      </c>
      <c r="T192" s="28">
        <v>0</v>
      </c>
      <c r="U192" s="28"/>
      <c r="V192" s="28">
        <v>550</v>
      </c>
      <c r="W192" s="28">
        <f>O192*V192</f>
        <v>50655.55</v>
      </c>
      <c r="X192" s="28">
        <v>660</v>
      </c>
      <c r="Y192" s="28">
        <v>0</v>
      </c>
      <c r="Z192" s="28">
        <v>0</v>
      </c>
      <c r="AA192" s="28"/>
      <c r="AB192" s="28">
        <f>SUM(X192:Z192)</f>
        <v>660</v>
      </c>
      <c r="AC192" s="28">
        <f>AB192*O192</f>
        <v>60786.659999999996</v>
      </c>
      <c r="AD192" s="28">
        <f>AC192-W192</f>
        <v>10131.109999999993</v>
      </c>
      <c r="AE192" s="38"/>
      <c r="AF192" s="3"/>
      <c r="AG192" s="14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20" x14ac:dyDescent="0.25">
      <c r="A193" s="6"/>
      <c r="B193" s="6"/>
      <c r="C193" s="7"/>
      <c r="D193" s="7"/>
      <c r="E193" s="7"/>
      <c r="F193" s="7"/>
      <c r="G193" s="7"/>
      <c r="H193" s="7"/>
      <c r="I193" s="60"/>
      <c r="J193" s="62"/>
      <c r="K193" s="7"/>
      <c r="L193" s="24" t="s">
        <v>17</v>
      </c>
      <c r="M193" s="24"/>
      <c r="N193" s="24"/>
      <c r="O193" s="24">
        <f>+SUM(O184:O192)</f>
        <v>815.90299999999991</v>
      </c>
      <c r="P193" s="8"/>
      <c r="Q193" s="24"/>
      <c r="R193" s="24"/>
      <c r="S193" s="24"/>
      <c r="T193" s="24"/>
      <c r="U193" s="24"/>
      <c r="V193" s="24"/>
      <c r="W193" s="25">
        <f>+SUM(W184:W192)</f>
        <v>448746.64999999997</v>
      </c>
      <c r="X193" s="24"/>
      <c r="Y193" s="24"/>
      <c r="Z193" s="24"/>
      <c r="AA193" s="24"/>
      <c r="AB193" s="24"/>
      <c r="AC193" s="25">
        <f>+SUM(AC184:AC192)</f>
        <v>538495.9800000001</v>
      </c>
      <c r="AD193" s="25">
        <f>+SUM(AD184:AD192)</f>
        <v>89749.329999999987</v>
      </c>
    </row>
    <row r="194" spans="1:44" ht="32" x14ac:dyDescent="0.2">
      <c r="A194" s="3"/>
      <c r="B194" s="3" t="s">
        <v>396</v>
      </c>
      <c r="C194" s="3"/>
      <c r="D194" s="3" t="s">
        <v>397</v>
      </c>
      <c r="E194" s="3" t="s">
        <v>12</v>
      </c>
      <c r="F194" s="3" t="s">
        <v>116</v>
      </c>
      <c r="G194" s="3" t="s">
        <v>109</v>
      </c>
      <c r="H194" s="60"/>
      <c r="I194" s="60"/>
      <c r="J194" s="62"/>
      <c r="K194" s="3"/>
      <c r="L194" s="27" t="s">
        <v>241</v>
      </c>
      <c r="M194" s="27" t="s">
        <v>375</v>
      </c>
      <c r="N194" s="27"/>
      <c r="O194" s="27">
        <v>90.381</v>
      </c>
      <c r="P194" s="20" t="s">
        <v>15</v>
      </c>
      <c r="Q194" s="27" t="s">
        <v>99</v>
      </c>
      <c r="R194" s="28">
        <v>550</v>
      </c>
      <c r="S194" s="28">
        <v>0</v>
      </c>
      <c r="T194" s="28">
        <v>0</v>
      </c>
      <c r="U194" s="28"/>
      <c r="V194" s="28">
        <v>550</v>
      </c>
      <c r="W194" s="28">
        <f>O194*V194</f>
        <v>49709.55</v>
      </c>
      <c r="X194" s="28">
        <v>660</v>
      </c>
      <c r="Y194" s="28">
        <v>0</v>
      </c>
      <c r="Z194" s="28">
        <v>0</v>
      </c>
      <c r="AA194" s="28"/>
      <c r="AB194" s="28">
        <f>SUM(X194:Z194)</f>
        <v>660</v>
      </c>
      <c r="AC194" s="28">
        <f>AB194*O194</f>
        <v>59651.46</v>
      </c>
      <c r="AD194" s="28">
        <f>AC194-W194</f>
        <v>9941.9099999999962</v>
      </c>
      <c r="AE194" s="38"/>
      <c r="AF194" s="3"/>
      <c r="AG194" s="14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32" x14ac:dyDescent="0.2">
      <c r="A195" s="3"/>
      <c r="B195" s="3" t="s">
        <v>396</v>
      </c>
      <c r="C195" s="3"/>
      <c r="D195" s="3" t="s">
        <v>398</v>
      </c>
      <c r="E195" s="3" t="s">
        <v>12</v>
      </c>
      <c r="F195" s="3" t="s">
        <v>117</v>
      </c>
      <c r="G195" s="3" t="s">
        <v>109</v>
      </c>
      <c r="H195" s="60"/>
      <c r="I195" s="60"/>
      <c r="J195" s="62"/>
      <c r="K195" s="3"/>
      <c r="L195" s="27" t="s">
        <v>241</v>
      </c>
      <c r="M195" s="27" t="s">
        <v>375</v>
      </c>
      <c r="N195" s="27"/>
      <c r="O195" s="27">
        <v>91.6</v>
      </c>
      <c r="P195" s="20" t="s">
        <v>15</v>
      </c>
      <c r="Q195" s="27" t="s">
        <v>99</v>
      </c>
      <c r="R195" s="28">
        <v>550</v>
      </c>
      <c r="S195" s="28">
        <v>0</v>
      </c>
      <c r="T195" s="28">
        <v>0</v>
      </c>
      <c r="U195" s="28"/>
      <c r="V195" s="28">
        <v>550</v>
      </c>
      <c r="W195" s="28">
        <f>O195*V195</f>
        <v>50380</v>
      </c>
      <c r="X195" s="28">
        <v>660</v>
      </c>
      <c r="Y195" s="28">
        <v>0</v>
      </c>
      <c r="Z195" s="28">
        <v>0</v>
      </c>
      <c r="AA195" s="28"/>
      <c r="AB195" s="28">
        <f>SUM(X195:Z195)</f>
        <v>660</v>
      </c>
      <c r="AC195" s="28">
        <f>AB195*O195</f>
        <v>60455.999999999993</v>
      </c>
      <c r="AD195" s="28">
        <f>AC195-W195</f>
        <v>10075.999999999993</v>
      </c>
      <c r="AE195" s="38"/>
      <c r="AF195" s="3"/>
      <c r="AG195" s="14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32" x14ac:dyDescent="0.2">
      <c r="A196" s="3"/>
      <c r="B196" s="3" t="s">
        <v>396</v>
      </c>
      <c r="C196" s="3"/>
      <c r="D196" s="3" t="s">
        <v>399</v>
      </c>
      <c r="E196" s="3" t="s">
        <v>12</v>
      </c>
      <c r="F196" s="3" t="s">
        <v>117</v>
      </c>
      <c r="G196" s="3" t="s">
        <v>109</v>
      </c>
      <c r="H196" s="60"/>
      <c r="I196" s="60"/>
      <c r="J196" s="62"/>
      <c r="K196" s="3"/>
      <c r="L196" s="27" t="s">
        <v>241</v>
      </c>
      <c r="M196" s="27" t="s">
        <v>375</v>
      </c>
      <c r="N196" s="27"/>
      <c r="O196" s="27">
        <v>91.391999999999996</v>
      </c>
      <c r="P196" s="20" t="s">
        <v>15</v>
      </c>
      <c r="Q196" s="27" t="s">
        <v>99</v>
      </c>
      <c r="R196" s="28">
        <v>550</v>
      </c>
      <c r="S196" s="28">
        <v>0</v>
      </c>
      <c r="T196" s="28">
        <v>0</v>
      </c>
      <c r="U196" s="28"/>
      <c r="V196" s="28">
        <v>550</v>
      </c>
      <c r="W196" s="28">
        <f>O196*V196</f>
        <v>50265.599999999999</v>
      </c>
      <c r="X196" s="28">
        <v>660</v>
      </c>
      <c r="Y196" s="28">
        <v>0</v>
      </c>
      <c r="Z196" s="28">
        <v>0</v>
      </c>
      <c r="AA196" s="28"/>
      <c r="AB196" s="28">
        <f>SUM(X196:Z196)</f>
        <v>660</v>
      </c>
      <c r="AC196" s="28">
        <f>AB196*O196</f>
        <v>60318.719999999994</v>
      </c>
      <c r="AD196" s="28">
        <f>AC196-W196</f>
        <v>10053.119999999995</v>
      </c>
      <c r="AE196" s="38"/>
      <c r="AF196" s="3"/>
      <c r="AG196" s="14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32" x14ac:dyDescent="0.2">
      <c r="A197" s="3"/>
      <c r="B197" s="3" t="s">
        <v>396</v>
      </c>
      <c r="C197" s="3"/>
      <c r="D197" s="3" t="s">
        <v>400</v>
      </c>
      <c r="E197" s="3" t="s">
        <v>12</v>
      </c>
      <c r="F197" s="3" t="s">
        <v>117</v>
      </c>
      <c r="G197" s="3" t="s">
        <v>109</v>
      </c>
      <c r="H197" s="60"/>
      <c r="I197" s="60"/>
      <c r="J197" s="62"/>
      <c r="K197" s="3"/>
      <c r="L197" s="27" t="s">
        <v>239</v>
      </c>
      <c r="M197" s="27" t="s">
        <v>375</v>
      </c>
      <c r="N197" s="27"/>
      <c r="O197" s="27">
        <v>91.721000000000004</v>
      </c>
      <c r="P197" s="20" t="s">
        <v>15</v>
      </c>
      <c r="Q197" s="27" t="s">
        <v>99</v>
      </c>
      <c r="R197" s="28">
        <v>550</v>
      </c>
      <c r="S197" s="28">
        <v>0</v>
      </c>
      <c r="T197" s="28">
        <v>0</v>
      </c>
      <c r="U197" s="28"/>
      <c r="V197" s="28">
        <v>550</v>
      </c>
      <c r="W197" s="28">
        <f>O197*V197</f>
        <v>50446.55</v>
      </c>
      <c r="X197" s="28">
        <v>660</v>
      </c>
      <c r="Y197" s="28">
        <v>0</v>
      </c>
      <c r="Z197" s="28">
        <v>0</v>
      </c>
      <c r="AA197" s="28"/>
      <c r="AB197" s="28">
        <f>SUM(X197:Z197)</f>
        <v>660</v>
      </c>
      <c r="AC197" s="28">
        <f>AB197*O197</f>
        <v>60535.86</v>
      </c>
      <c r="AD197" s="28">
        <f>AC197-W197</f>
        <v>10089.309999999998</v>
      </c>
      <c r="AE197" s="38"/>
      <c r="AF197" s="3"/>
      <c r="AG197" s="14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32" customHeight="1" x14ac:dyDescent="0.2">
      <c r="A198" s="3"/>
      <c r="B198" s="3" t="s">
        <v>396</v>
      </c>
      <c r="C198" s="3"/>
      <c r="D198" s="3" t="s">
        <v>401</v>
      </c>
      <c r="E198" s="3" t="s">
        <v>12</v>
      </c>
      <c r="F198" s="3" t="s">
        <v>117</v>
      </c>
      <c r="G198" s="3" t="s">
        <v>109</v>
      </c>
      <c r="H198" s="60"/>
      <c r="I198" s="60"/>
      <c r="J198" s="62"/>
      <c r="K198" s="3"/>
      <c r="L198" s="27" t="s">
        <v>239</v>
      </c>
      <c r="M198" s="27" t="s">
        <v>375</v>
      </c>
      <c r="N198" s="27"/>
      <c r="O198" s="27">
        <v>92.772999999999996</v>
      </c>
      <c r="P198" s="20" t="s">
        <v>15</v>
      </c>
      <c r="Q198" s="27" t="s">
        <v>99</v>
      </c>
      <c r="R198" s="28">
        <v>550</v>
      </c>
      <c r="S198" s="28">
        <v>0</v>
      </c>
      <c r="T198" s="28">
        <v>0</v>
      </c>
      <c r="U198" s="28"/>
      <c r="V198" s="28">
        <v>550</v>
      </c>
      <c r="W198" s="28">
        <f t="shared" ref="W198:W201" si="90">O198*V198</f>
        <v>51025.15</v>
      </c>
      <c r="X198" s="28">
        <v>660</v>
      </c>
      <c r="Y198" s="28">
        <v>0</v>
      </c>
      <c r="Z198" s="28">
        <v>0</v>
      </c>
      <c r="AA198" s="28"/>
      <c r="AB198" s="28">
        <f>SUM(X198:Z198)</f>
        <v>660</v>
      </c>
      <c r="AC198" s="28">
        <f>AB198*O198</f>
        <v>61230.18</v>
      </c>
      <c r="AD198" s="28">
        <f>AC198-W198</f>
        <v>10205.029999999999</v>
      </c>
      <c r="AE198" s="38"/>
      <c r="AF198" s="3"/>
      <c r="AG198" s="14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32" x14ac:dyDescent="0.2">
      <c r="A199" s="3"/>
      <c r="B199" s="3" t="s">
        <v>396</v>
      </c>
      <c r="C199" s="3"/>
      <c r="D199" s="3" t="s">
        <v>402</v>
      </c>
      <c r="E199" s="3" t="s">
        <v>12</v>
      </c>
      <c r="F199" s="3" t="s">
        <v>117</v>
      </c>
      <c r="G199" s="3" t="s">
        <v>109</v>
      </c>
      <c r="H199" s="60"/>
      <c r="I199" s="60"/>
      <c r="J199" s="62"/>
      <c r="K199" s="3"/>
      <c r="L199" s="27" t="s">
        <v>420</v>
      </c>
      <c r="M199" s="27" t="s">
        <v>375</v>
      </c>
      <c r="N199" s="27"/>
      <c r="O199" s="27">
        <v>90.647999999999996</v>
      </c>
      <c r="P199" s="20" t="s">
        <v>15</v>
      </c>
      <c r="Q199" s="27" t="s">
        <v>99</v>
      </c>
      <c r="R199" s="28">
        <v>550</v>
      </c>
      <c r="S199" s="28">
        <v>0</v>
      </c>
      <c r="T199" s="28">
        <v>0</v>
      </c>
      <c r="U199" s="28"/>
      <c r="V199" s="28">
        <v>550</v>
      </c>
      <c r="W199" s="28">
        <f t="shared" si="90"/>
        <v>49856.4</v>
      </c>
      <c r="X199" s="28">
        <v>660</v>
      </c>
      <c r="Y199" s="28">
        <v>0</v>
      </c>
      <c r="Z199" s="28">
        <v>0</v>
      </c>
      <c r="AA199" s="28"/>
      <c r="AB199" s="28">
        <f>SUM(X199:Z199)</f>
        <v>660</v>
      </c>
      <c r="AC199" s="28">
        <f>AB199*O199</f>
        <v>59827.68</v>
      </c>
      <c r="AD199" s="28">
        <f>AC199-W199</f>
        <v>9971.2799999999988</v>
      </c>
      <c r="AE199" s="38"/>
      <c r="AF199" s="3"/>
      <c r="AG199" s="14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32" customHeight="1" x14ac:dyDescent="0.2">
      <c r="A200" s="3"/>
      <c r="B200" s="3" t="s">
        <v>396</v>
      </c>
      <c r="C200" s="3"/>
      <c r="D200" s="3" t="s">
        <v>403</v>
      </c>
      <c r="E200" s="3" t="s">
        <v>12</v>
      </c>
      <c r="F200" s="3" t="s">
        <v>117</v>
      </c>
      <c r="G200" s="3" t="s">
        <v>109</v>
      </c>
      <c r="H200" s="60"/>
      <c r="I200" s="60"/>
      <c r="J200" s="62"/>
      <c r="K200" s="3"/>
      <c r="L200" s="27"/>
      <c r="M200" s="27" t="s">
        <v>375</v>
      </c>
      <c r="N200" s="27"/>
      <c r="O200" s="27">
        <v>90</v>
      </c>
      <c r="P200" s="20" t="s">
        <v>15</v>
      </c>
      <c r="Q200" s="27" t="s">
        <v>99</v>
      </c>
      <c r="R200" s="28">
        <v>550</v>
      </c>
      <c r="S200" s="28">
        <v>0</v>
      </c>
      <c r="T200" s="28">
        <v>0</v>
      </c>
      <c r="U200" s="28"/>
      <c r="V200" s="28">
        <v>550</v>
      </c>
      <c r="W200" s="28">
        <f t="shared" si="90"/>
        <v>49500</v>
      </c>
      <c r="X200" s="28">
        <v>660</v>
      </c>
      <c r="Y200" s="28">
        <v>0</v>
      </c>
      <c r="Z200" s="28">
        <v>0</v>
      </c>
      <c r="AA200" s="28"/>
      <c r="AB200" s="28">
        <f>SUM(X200:Z200)</f>
        <v>660</v>
      </c>
      <c r="AC200" s="28">
        <f>AB200*O200</f>
        <v>59400</v>
      </c>
      <c r="AD200" s="28">
        <f>AC200-W200</f>
        <v>9900</v>
      </c>
      <c r="AE200" s="38"/>
      <c r="AF200" s="3"/>
      <c r="AG200" s="14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32" customHeight="1" x14ac:dyDescent="0.2">
      <c r="A201" s="3"/>
      <c r="B201" s="3" t="s">
        <v>396</v>
      </c>
      <c r="C201" s="3"/>
      <c r="D201" s="3" t="s">
        <v>404</v>
      </c>
      <c r="E201" s="3" t="s">
        <v>12</v>
      </c>
      <c r="F201" s="3" t="s">
        <v>117</v>
      </c>
      <c r="G201" s="3" t="s">
        <v>109</v>
      </c>
      <c r="H201" s="60"/>
      <c r="I201" s="60"/>
      <c r="J201" s="62"/>
      <c r="K201" s="3"/>
      <c r="L201" s="27"/>
      <c r="M201" s="27" t="s">
        <v>375</v>
      </c>
      <c r="N201" s="27"/>
      <c r="O201" s="27">
        <v>90</v>
      </c>
      <c r="P201" s="20" t="s">
        <v>15</v>
      </c>
      <c r="Q201" s="27" t="s">
        <v>99</v>
      </c>
      <c r="R201" s="28">
        <v>550</v>
      </c>
      <c r="S201" s="28">
        <v>0</v>
      </c>
      <c r="T201" s="28">
        <v>0</v>
      </c>
      <c r="U201" s="28"/>
      <c r="V201" s="28">
        <v>550</v>
      </c>
      <c r="W201" s="28">
        <f t="shared" si="90"/>
        <v>49500</v>
      </c>
      <c r="X201" s="28">
        <v>660</v>
      </c>
      <c r="Y201" s="28">
        <v>0</v>
      </c>
      <c r="Z201" s="28">
        <v>0</v>
      </c>
      <c r="AA201" s="28"/>
      <c r="AB201" s="28">
        <f>SUM(X201:Z201)</f>
        <v>660</v>
      </c>
      <c r="AC201" s="28">
        <f>AB201*O201</f>
        <v>59400</v>
      </c>
      <c r="AD201" s="28">
        <f>AC201-W201</f>
        <v>9900</v>
      </c>
      <c r="AE201" s="38"/>
      <c r="AF201" s="3"/>
      <c r="AG201" s="14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32" x14ac:dyDescent="0.2">
      <c r="A202" s="3"/>
      <c r="B202" s="3" t="s">
        <v>396</v>
      </c>
      <c r="C202" s="3"/>
      <c r="D202" s="3" t="s">
        <v>405</v>
      </c>
      <c r="E202" s="3" t="s">
        <v>12</v>
      </c>
      <c r="F202" s="3" t="s">
        <v>117</v>
      </c>
      <c r="G202" s="3" t="s">
        <v>109</v>
      </c>
      <c r="H202" s="60"/>
      <c r="I202" s="60"/>
      <c r="J202" s="62"/>
      <c r="K202" s="3"/>
      <c r="L202" s="27"/>
      <c r="M202" s="27" t="s">
        <v>375</v>
      </c>
      <c r="N202" s="27"/>
      <c r="O202" s="27">
        <v>90</v>
      </c>
      <c r="P202" s="20" t="s">
        <v>15</v>
      </c>
      <c r="Q202" s="27" t="s">
        <v>99</v>
      </c>
      <c r="R202" s="28">
        <v>550</v>
      </c>
      <c r="S202" s="28">
        <v>0</v>
      </c>
      <c r="T202" s="28">
        <v>0</v>
      </c>
      <c r="U202" s="28"/>
      <c r="V202" s="28">
        <v>550</v>
      </c>
      <c r="W202" s="28">
        <f>O202*V202</f>
        <v>49500</v>
      </c>
      <c r="X202" s="28">
        <v>660</v>
      </c>
      <c r="Y202" s="28">
        <v>0</v>
      </c>
      <c r="Z202" s="28">
        <v>0</v>
      </c>
      <c r="AA202" s="28"/>
      <c r="AB202" s="28">
        <f>SUM(X202:Z202)</f>
        <v>660</v>
      </c>
      <c r="AC202" s="28">
        <f>AB202*O202</f>
        <v>59400</v>
      </c>
      <c r="AD202" s="28">
        <f>AC202-W202</f>
        <v>9900</v>
      </c>
      <c r="AE202" s="38"/>
      <c r="AF202" s="3"/>
      <c r="AG202" s="14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32" x14ac:dyDescent="0.2">
      <c r="A203" s="3"/>
      <c r="B203" s="3" t="s">
        <v>396</v>
      </c>
      <c r="C203" s="3"/>
      <c r="D203" s="3" t="s">
        <v>416</v>
      </c>
      <c r="E203" s="3" t="s">
        <v>12</v>
      </c>
      <c r="F203" s="3" t="s">
        <v>117</v>
      </c>
      <c r="G203" s="3" t="s">
        <v>109</v>
      </c>
      <c r="H203" s="60"/>
      <c r="I203" s="60"/>
      <c r="J203" s="62"/>
      <c r="K203" s="3"/>
      <c r="L203" s="27"/>
      <c r="M203" s="27" t="s">
        <v>375</v>
      </c>
      <c r="N203" s="27"/>
      <c r="O203" s="27">
        <v>90</v>
      </c>
      <c r="P203" s="20" t="s">
        <v>15</v>
      </c>
      <c r="Q203" s="27" t="s">
        <v>99</v>
      </c>
      <c r="R203" s="28">
        <v>550</v>
      </c>
      <c r="S203" s="28">
        <v>0</v>
      </c>
      <c r="T203" s="28">
        <v>0</v>
      </c>
      <c r="U203" s="28"/>
      <c r="V203" s="28">
        <v>550</v>
      </c>
      <c r="W203" s="28">
        <f>O203*V203</f>
        <v>49500</v>
      </c>
      <c r="X203" s="28">
        <v>660</v>
      </c>
      <c r="Y203" s="28">
        <v>0</v>
      </c>
      <c r="Z203" s="28">
        <v>0</v>
      </c>
      <c r="AA203" s="28"/>
      <c r="AB203" s="28">
        <f>SUM(X203:Z203)</f>
        <v>660</v>
      </c>
      <c r="AC203" s="28">
        <f>AB203*O203</f>
        <v>59400</v>
      </c>
      <c r="AD203" s="28">
        <f>AC203-W203</f>
        <v>9900</v>
      </c>
      <c r="AE203" s="38"/>
      <c r="AF203" s="3"/>
      <c r="AG203" s="14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32" x14ac:dyDescent="0.2">
      <c r="A204" s="3"/>
      <c r="B204" s="3" t="s">
        <v>396</v>
      </c>
      <c r="C204" s="3"/>
      <c r="D204" s="3" t="s">
        <v>417</v>
      </c>
      <c r="E204" s="3" t="s">
        <v>12</v>
      </c>
      <c r="F204" s="3" t="s">
        <v>117</v>
      </c>
      <c r="G204" s="3" t="s">
        <v>109</v>
      </c>
      <c r="H204" s="60"/>
      <c r="I204" s="60"/>
      <c r="J204" s="62"/>
      <c r="K204" s="3"/>
      <c r="L204" s="27"/>
      <c r="M204" s="27" t="s">
        <v>375</v>
      </c>
      <c r="N204" s="27"/>
      <c r="O204" s="27">
        <v>90</v>
      </c>
      <c r="P204" s="20" t="s">
        <v>15</v>
      </c>
      <c r="Q204" s="27" t="s">
        <v>99</v>
      </c>
      <c r="R204" s="28">
        <v>550</v>
      </c>
      <c r="S204" s="28">
        <v>0</v>
      </c>
      <c r="T204" s="28">
        <v>0</v>
      </c>
      <c r="U204" s="28"/>
      <c r="V204" s="28">
        <v>550</v>
      </c>
      <c r="W204" s="28">
        <f>O204*V204</f>
        <v>49500</v>
      </c>
      <c r="X204" s="28">
        <v>660</v>
      </c>
      <c r="Y204" s="28">
        <v>0</v>
      </c>
      <c r="Z204" s="28">
        <v>0</v>
      </c>
      <c r="AA204" s="28"/>
      <c r="AB204" s="28">
        <f>SUM(X204:Z204)</f>
        <v>660</v>
      </c>
      <c r="AC204" s="28">
        <f>AB204*O204</f>
        <v>59400</v>
      </c>
      <c r="AD204" s="28">
        <f>AC204-W204</f>
        <v>9900</v>
      </c>
      <c r="AE204" s="38"/>
      <c r="AF204" s="3"/>
      <c r="AG204" s="14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32" x14ac:dyDescent="0.2">
      <c r="A205" s="3"/>
      <c r="B205" s="3" t="s">
        <v>396</v>
      </c>
      <c r="C205" s="3"/>
      <c r="D205" s="3" t="s">
        <v>418</v>
      </c>
      <c r="E205" s="3" t="s">
        <v>12</v>
      </c>
      <c r="F205" s="3" t="s">
        <v>117</v>
      </c>
      <c r="G205" s="3" t="s">
        <v>109</v>
      </c>
      <c r="H205" s="60"/>
      <c r="I205" s="60"/>
      <c r="J205" s="62"/>
      <c r="K205" s="3"/>
      <c r="L205" s="27"/>
      <c r="M205" s="27" t="s">
        <v>375</v>
      </c>
      <c r="N205" s="27"/>
      <c r="O205" s="27">
        <v>90</v>
      </c>
      <c r="P205" s="20" t="s">
        <v>15</v>
      </c>
      <c r="Q205" s="27" t="s">
        <v>99</v>
      </c>
      <c r="R205" s="28">
        <v>550</v>
      </c>
      <c r="S205" s="28">
        <v>0</v>
      </c>
      <c r="T205" s="28">
        <v>0</v>
      </c>
      <c r="U205" s="28"/>
      <c r="V205" s="28">
        <v>550</v>
      </c>
      <c r="W205" s="28">
        <f>O205*V205</f>
        <v>49500</v>
      </c>
      <c r="X205" s="28">
        <v>660</v>
      </c>
      <c r="Y205" s="28">
        <v>0</v>
      </c>
      <c r="Z205" s="28">
        <v>0</v>
      </c>
      <c r="AA205" s="28"/>
      <c r="AB205" s="28">
        <f>SUM(X205:Z205)</f>
        <v>660</v>
      </c>
      <c r="AC205" s="28">
        <f>AB205*O205</f>
        <v>59400</v>
      </c>
      <c r="AD205" s="28">
        <f>AC205-W205</f>
        <v>9900</v>
      </c>
      <c r="AE205" s="38"/>
      <c r="AF205" s="3"/>
      <c r="AG205" s="14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20" x14ac:dyDescent="0.25">
      <c r="A206" s="6"/>
      <c r="B206" s="6"/>
      <c r="C206" s="7"/>
      <c r="D206" s="7"/>
      <c r="E206" s="7"/>
      <c r="F206" s="7"/>
      <c r="G206" s="7"/>
      <c r="H206" s="7"/>
      <c r="I206" s="60"/>
      <c r="J206" s="62"/>
      <c r="K206" s="7"/>
      <c r="L206" s="24" t="s">
        <v>17</v>
      </c>
      <c r="M206" s="24"/>
      <c r="N206" s="24"/>
      <c r="O206" s="24">
        <f>+SUM(O194:O205)</f>
        <v>1088.5149999999999</v>
      </c>
      <c r="P206" s="8"/>
      <c r="Q206" s="24"/>
      <c r="R206" s="24"/>
      <c r="S206" s="24"/>
      <c r="T206" s="24"/>
      <c r="U206" s="24"/>
      <c r="V206" s="24"/>
      <c r="W206" s="25">
        <f>+SUM(W194:W205)</f>
        <v>598683.25</v>
      </c>
      <c r="X206" s="24"/>
      <c r="Y206" s="24"/>
      <c r="Z206" s="24"/>
      <c r="AA206" s="24"/>
      <c r="AB206" s="24"/>
      <c r="AC206" s="25">
        <f>+SUM(AC194:AC205)</f>
        <v>718419.89999999991</v>
      </c>
      <c r="AD206" s="25">
        <f>+SUM(AD194:AD205)</f>
        <v>119736.64999999998</v>
      </c>
    </row>
    <row r="207" spans="1:44" x14ac:dyDescent="0.2">
      <c r="W207" s="17"/>
      <c r="AC207" t="s">
        <v>269</v>
      </c>
      <c r="AD207" s="17">
        <f>SUM(AD146,AD118,AD153)</f>
        <v>107931.84000000001</v>
      </c>
      <c r="AE207" s="96">
        <f>SUM(O146,O118,O153)</f>
        <v>553.41</v>
      </c>
    </row>
    <row r="208" spans="1:44" x14ac:dyDescent="0.2">
      <c r="W208" s="17"/>
      <c r="Y208" s="15"/>
      <c r="AD208" s="17"/>
      <c r="AE208" s="43"/>
    </row>
    <row r="209" spans="16:36" x14ac:dyDescent="0.2">
      <c r="W209" s="17"/>
      <c r="Y209" s="17"/>
      <c r="Z209" s="43"/>
      <c r="AA209" s="43"/>
      <c r="AB209" s="106"/>
      <c r="AC209" s="54" t="s">
        <v>372</v>
      </c>
      <c r="AD209" s="54"/>
      <c r="AE209" s="96" t="s">
        <v>244</v>
      </c>
    </row>
    <row r="210" spans="16:36" x14ac:dyDescent="0.2">
      <c r="W210" s="17"/>
      <c r="AC210" t="s">
        <v>265</v>
      </c>
      <c r="AD210" s="17"/>
      <c r="AE210" s="43"/>
    </row>
    <row r="211" spans="16:36" x14ac:dyDescent="0.2">
      <c r="W211" s="17"/>
      <c r="Z211" s="43"/>
      <c r="AA211" s="43"/>
      <c r="AC211" t="s">
        <v>264</v>
      </c>
      <c r="AD211" s="17">
        <f>SUM(AD176,AD183,AD193,AD206)</f>
        <v>344886.10499999998</v>
      </c>
      <c r="AE211" s="96"/>
    </row>
    <row r="212" spans="16:36" x14ac:dyDescent="0.2">
      <c r="W212" s="17"/>
      <c r="Y212" s="17"/>
      <c r="AC212" t="s">
        <v>269</v>
      </c>
      <c r="AD212" s="17"/>
      <c r="AE212" s="96"/>
    </row>
    <row r="213" spans="16:36" x14ac:dyDescent="0.2">
      <c r="W213" s="17"/>
      <c r="AD213" s="17"/>
      <c r="AE213" s="96"/>
    </row>
    <row r="214" spans="16:36" x14ac:dyDescent="0.2">
      <c r="AD214" s="17"/>
      <c r="AE214" s="96"/>
    </row>
    <row r="215" spans="16:36" x14ac:dyDescent="0.2">
      <c r="W215" s="17"/>
      <c r="AC215" s="17"/>
      <c r="AE215" s="96"/>
    </row>
    <row r="216" spans="16:36" x14ac:dyDescent="0.2">
      <c r="AB216" s="17"/>
      <c r="AC216" s="17"/>
      <c r="AE216" s="96"/>
    </row>
    <row r="217" spans="16:36" x14ac:dyDescent="0.2">
      <c r="P217" s="36"/>
      <c r="AB217" s="17"/>
      <c r="AE217" s="43"/>
    </row>
    <row r="218" spans="16:36" x14ac:dyDescent="0.2">
      <c r="W218" s="17"/>
      <c r="AB218" s="17"/>
      <c r="AE218" s="43"/>
    </row>
    <row r="219" spans="16:36" x14ac:dyDescent="0.2">
      <c r="AB219" s="17"/>
      <c r="AE219" s="43"/>
    </row>
    <row r="220" spans="16:36" x14ac:dyDescent="0.2">
      <c r="AB220" s="17"/>
      <c r="AE220" s="43"/>
    </row>
    <row r="221" spans="16:36" x14ac:dyDescent="0.2">
      <c r="Q221" s="17"/>
      <c r="AB221" s="17"/>
      <c r="AF221" s="88" t="s">
        <v>188</v>
      </c>
      <c r="AG221" s="88"/>
      <c r="AH221" s="88"/>
      <c r="AI221" s="88"/>
      <c r="AJ221" s="88"/>
    </row>
    <row r="222" spans="16:36" ht="16" x14ac:dyDescent="0.2">
      <c r="Q222" s="17"/>
      <c r="AB222" s="17"/>
      <c r="AF222" s="83" t="s">
        <v>243</v>
      </c>
      <c r="AG222" s="121" t="s">
        <v>380</v>
      </c>
      <c r="AH222" s="122" t="s">
        <v>244</v>
      </c>
      <c r="AI222" s="122"/>
      <c r="AJ222" s="82" t="s">
        <v>381</v>
      </c>
    </row>
    <row r="223" spans="16:36" x14ac:dyDescent="0.2">
      <c r="Q223" s="17"/>
      <c r="AB223" s="17"/>
      <c r="AF223" s="80"/>
      <c r="AG223" s="123"/>
      <c r="AH223" s="52"/>
      <c r="AI223" s="122"/>
      <c r="AJ223" s="52"/>
    </row>
    <row r="224" spans="16:36" x14ac:dyDescent="0.2">
      <c r="Q224" s="17"/>
      <c r="AB224" s="17"/>
      <c r="AF224" s="80">
        <v>297000</v>
      </c>
      <c r="AG224" s="123">
        <v>46121</v>
      </c>
      <c r="AH224" s="52" t="s">
        <v>419</v>
      </c>
      <c r="AI224" s="122"/>
      <c r="AJ224" s="52" t="s">
        <v>99</v>
      </c>
    </row>
    <row r="225" spans="17:43" x14ac:dyDescent="0.2">
      <c r="Q225" s="17"/>
      <c r="AB225" s="17"/>
      <c r="AF225" s="80">
        <v>297000</v>
      </c>
      <c r="AG225" s="123" t="s">
        <v>415</v>
      </c>
      <c r="AH225" s="52">
        <v>540</v>
      </c>
      <c r="AI225" s="122"/>
      <c r="AJ225" s="52" t="s">
        <v>99</v>
      </c>
    </row>
    <row r="226" spans="17:43" x14ac:dyDescent="0.2">
      <c r="Q226" s="17"/>
      <c r="AB226" s="17"/>
      <c r="AF226" s="80">
        <v>445000</v>
      </c>
      <c r="AG226" s="124">
        <v>46091</v>
      </c>
      <c r="AH226" s="52">
        <v>810</v>
      </c>
      <c r="AI226" s="122"/>
      <c r="AJ226" s="52" t="s">
        <v>99</v>
      </c>
    </row>
    <row r="227" spans="17:43" x14ac:dyDescent="0.2">
      <c r="Q227" s="17"/>
      <c r="AB227" s="17"/>
      <c r="AF227" s="80">
        <v>290000</v>
      </c>
      <c r="AG227" s="124">
        <v>46072</v>
      </c>
      <c r="AH227" s="52">
        <v>540</v>
      </c>
      <c r="AI227" s="122"/>
      <c r="AJ227" s="52" t="s">
        <v>99</v>
      </c>
    </row>
    <row r="228" spans="17:43" x14ac:dyDescent="0.2">
      <c r="Q228" s="17"/>
      <c r="AB228" s="17"/>
      <c r="AF228" s="80">
        <v>294000</v>
      </c>
      <c r="AG228" s="124">
        <v>46043</v>
      </c>
      <c r="AH228" s="52">
        <v>540</v>
      </c>
      <c r="AI228" s="52"/>
      <c r="AJ228" s="52" t="s">
        <v>99</v>
      </c>
    </row>
    <row r="229" spans="17:43" x14ac:dyDescent="0.2">
      <c r="Q229" s="17"/>
      <c r="AB229" s="17"/>
      <c r="AF229" s="80">
        <v>143100</v>
      </c>
      <c r="AG229" s="124">
        <v>46010</v>
      </c>
      <c r="AH229" s="52">
        <v>270</v>
      </c>
      <c r="AI229" s="52"/>
      <c r="AJ229" s="52" t="s">
        <v>99</v>
      </c>
    </row>
    <row r="230" spans="17:43" x14ac:dyDescent="0.2">
      <c r="Q230" s="17"/>
      <c r="AB230" s="17"/>
      <c r="AF230" s="80">
        <v>190800</v>
      </c>
      <c r="AG230" s="124">
        <v>46007</v>
      </c>
      <c r="AH230" s="52">
        <v>360</v>
      </c>
      <c r="AI230" s="52"/>
      <c r="AJ230" s="52" t="s">
        <v>99</v>
      </c>
    </row>
    <row r="231" spans="17:43" x14ac:dyDescent="0.2">
      <c r="Q231" s="17"/>
      <c r="AB231" s="17"/>
      <c r="AF231" s="80">
        <v>47700</v>
      </c>
      <c r="AG231" s="124">
        <v>45993</v>
      </c>
      <c r="AH231" s="52">
        <v>90</v>
      </c>
      <c r="AI231" s="52"/>
      <c r="AJ231" s="52" t="s">
        <v>99</v>
      </c>
      <c r="AN231" t="s">
        <v>406</v>
      </c>
      <c r="AP231" t="s">
        <v>408</v>
      </c>
      <c r="AQ231" t="s">
        <v>310</v>
      </c>
    </row>
    <row r="232" spans="17:43" x14ac:dyDescent="0.2">
      <c r="Q232" s="17"/>
      <c r="AB232" s="17"/>
      <c r="AF232" s="80">
        <v>286000</v>
      </c>
      <c r="AG232" s="124">
        <v>45979</v>
      </c>
      <c r="AH232" s="52">
        <v>540</v>
      </c>
      <c r="AI232" s="52"/>
      <c r="AJ232" s="52" t="s">
        <v>99</v>
      </c>
      <c r="AN232" t="s">
        <v>407</v>
      </c>
      <c r="AO232">
        <v>150</v>
      </c>
      <c r="AP232" t="s">
        <v>409</v>
      </c>
      <c r="AQ232" s="15">
        <f>13*150</f>
        <v>1950</v>
      </c>
    </row>
    <row r="233" spans="17:43" x14ac:dyDescent="0.2">
      <c r="Q233" s="17"/>
      <c r="AB233" s="17"/>
      <c r="AF233" s="80">
        <v>145000</v>
      </c>
      <c r="AG233" s="124">
        <v>45973</v>
      </c>
      <c r="AH233" s="52">
        <v>270</v>
      </c>
      <c r="AI233" s="52"/>
      <c r="AJ233" s="52" t="s">
        <v>99</v>
      </c>
      <c r="AN233" t="s">
        <v>410</v>
      </c>
      <c r="AO233">
        <v>7</v>
      </c>
      <c r="AP233" t="s">
        <v>411</v>
      </c>
      <c r="AQ233" s="15">
        <f>330*7</f>
        <v>2310</v>
      </c>
    </row>
    <row r="234" spans="17:43" x14ac:dyDescent="0.2">
      <c r="Q234" s="17"/>
      <c r="AB234" s="17"/>
      <c r="AE234" s="43"/>
      <c r="AF234" s="80">
        <v>541800</v>
      </c>
      <c r="AG234" s="124">
        <v>45960</v>
      </c>
      <c r="AH234" s="52">
        <v>1000</v>
      </c>
      <c r="AI234" s="52"/>
      <c r="AJ234" s="52" t="s">
        <v>16</v>
      </c>
      <c r="AN234" t="s">
        <v>412</v>
      </c>
      <c r="AO234">
        <v>6</v>
      </c>
      <c r="AP234" t="s">
        <v>411</v>
      </c>
      <c r="AQ234" s="15">
        <f>290*6</f>
        <v>1740</v>
      </c>
    </row>
    <row r="235" spans="17:43" x14ac:dyDescent="0.2">
      <c r="Q235" s="17"/>
      <c r="AB235" s="17"/>
      <c r="AF235" s="80">
        <v>2089</v>
      </c>
      <c r="AG235" s="124">
        <v>45954</v>
      </c>
      <c r="AH235" s="52" t="s">
        <v>294</v>
      </c>
      <c r="AI235" s="52"/>
      <c r="AJ235" s="52" t="s">
        <v>16</v>
      </c>
      <c r="AN235" t="s">
        <v>413</v>
      </c>
      <c r="AO235">
        <v>5</v>
      </c>
      <c r="AP235" t="s">
        <v>411</v>
      </c>
      <c r="AQ235" s="15">
        <f>320*5</f>
        <v>1600</v>
      </c>
    </row>
    <row r="236" spans="17:43" x14ac:dyDescent="0.2">
      <c r="Q236" s="17"/>
      <c r="AF236" s="80">
        <v>540000</v>
      </c>
      <c r="AG236" s="124">
        <v>45951</v>
      </c>
      <c r="AH236" s="52">
        <v>1000</v>
      </c>
      <c r="AI236" s="52"/>
      <c r="AJ236" s="52" t="s">
        <v>16</v>
      </c>
      <c r="AN236" t="s">
        <v>414</v>
      </c>
      <c r="AO236">
        <v>2</v>
      </c>
      <c r="AP236" t="s">
        <v>411</v>
      </c>
      <c r="AQ236" s="15">
        <f>1650*2</f>
        <v>3300</v>
      </c>
    </row>
    <row r="237" spans="17:43" x14ac:dyDescent="0.2">
      <c r="Q237" s="17"/>
      <c r="AF237" s="80">
        <v>99000</v>
      </c>
      <c r="AG237" s="124">
        <v>45950</v>
      </c>
      <c r="AH237" s="52">
        <v>180</v>
      </c>
      <c r="AI237" s="52"/>
      <c r="AJ237" s="52" t="s">
        <v>99</v>
      </c>
      <c r="AQ237" s="15"/>
    </row>
    <row r="238" spans="17:43" x14ac:dyDescent="0.2">
      <c r="Q238" s="17"/>
      <c r="AF238" s="80">
        <v>530000</v>
      </c>
      <c r="AG238" s="124">
        <v>45939</v>
      </c>
      <c r="AH238" s="52">
        <v>990</v>
      </c>
      <c r="AI238" s="122"/>
      <c r="AJ238" s="52" t="s">
        <v>99</v>
      </c>
      <c r="AP238" t="s">
        <v>141</v>
      </c>
      <c r="AQ238" s="15">
        <f>SUM(AQ232:AQ236)</f>
        <v>10900</v>
      </c>
    </row>
    <row r="239" spans="17:43" x14ac:dyDescent="0.2">
      <c r="Q239" s="17"/>
      <c r="AF239" s="80">
        <v>400000</v>
      </c>
      <c r="AG239" s="124">
        <v>45915</v>
      </c>
      <c r="AH239" s="52">
        <v>720</v>
      </c>
      <c r="AI239" s="122"/>
      <c r="AJ239" s="52" t="s">
        <v>99</v>
      </c>
    </row>
    <row r="240" spans="17:43" x14ac:dyDescent="0.2">
      <c r="Q240" s="17"/>
      <c r="AF240" s="80">
        <v>1395</v>
      </c>
      <c r="AG240" s="124">
        <v>45904</v>
      </c>
      <c r="AH240" s="52" t="s">
        <v>229</v>
      </c>
      <c r="AI240" s="122"/>
      <c r="AJ240" s="52" t="s">
        <v>16</v>
      </c>
    </row>
    <row r="241" spans="17:44" x14ac:dyDescent="0.2">
      <c r="Q241" s="17"/>
      <c r="W241" s="17"/>
      <c r="AD241" s="17"/>
      <c r="AE241" s="43"/>
      <c r="AF241" s="80">
        <v>51300</v>
      </c>
      <c r="AG241" s="124">
        <v>45904</v>
      </c>
      <c r="AH241" s="52">
        <v>90</v>
      </c>
      <c r="AI241" s="122"/>
      <c r="AJ241" s="52" t="s">
        <v>99</v>
      </c>
      <c r="AP241" s="15"/>
    </row>
    <row r="242" spans="17:44" ht="16" thickBot="1" x14ac:dyDescent="0.25">
      <c r="Q242" s="17"/>
      <c r="Z242" t="s">
        <v>223</v>
      </c>
      <c r="AF242" s="80">
        <v>307760</v>
      </c>
      <c r="AG242" s="124">
        <v>43313</v>
      </c>
      <c r="AH242" s="52">
        <v>540</v>
      </c>
      <c r="AI242" s="122"/>
      <c r="AJ242" s="52" t="s">
        <v>99</v>
      </c>
    </row>
    <row r="243" spans="17:44" x14ac:dyDescent="0.2">
      <c r="Q243" s="17"/>
      <c r="W243" s="17"/>
      <c r="Y243" s="65"/>
      <c r="Z243" s="66" t="s">
        <v>167</v>
      </c>
      <c r="AA243" s="66"/>
      <c r="AB243" s="67" t="s">
        <v>167</v>
      </c>
      <c r="AC243" s="65"/>
      <c r="AD243" s="67"/>
      <c r="AF243" s="80">
        <v>4561</v>
      </c>
      <c r="AG243" s="124">
        <v>41487</v>
      </c>
      <c r="AH243" s="52" t="s">
        <v>228</v>
      </c>
      <c r="AI243" s="52"/>
      <c r="AJ243" s="52" t="s">
        <v>99</v>
      </c>
      <c r="AP243" s="43"/>
      <c r="AR243" s="43"/>
    </row>
    <row r="244" spans="17:44" x14ac:dyDescent="0.2">
      <c r="Q244" s="17"/>
      <c r="Y244" s="68"/>
      <c r="Z244" s="69">
        <f>X84-R84</f>
        <v>72</v>
      </c>
      <c r="AA244" s="69"/>
      <c r="AB244" s="70">
        <v>72</v>
      </c>
      <c r="AC244" s="97">
        <v>73</v>
      </c>
      <c r="AD244" s="98">
        <v>73</v>
      </c>
      <c r="AF244" s="80">
        <v>585970</v>
      </c>
      <c r="AG244" s="124">
        <v>45873</v>
      </c>
      <c r="AH244" s="52">
        <v>1000</v>
      </c>
      <c r="AI244" s="122"/>
      <c r="AJ244" s="52" t="s">
        <v>16</v>
      </c>
      <c r="AP244" s="43"/>
    </row>
    <row r="245" spans="17:44" x14ac:dyDescent="0.2">
      <c r="Q245" s="19"/>
      <c r="Y245" s="68" t="s">
        <v>244</v>
      </c>
      <c r="Z245" s="71">
        <v>1496.23</v>
      </c>
      <c r="AA245" s="71"/>
      <c r="AB245" s="72">
        <v>1497.0039999999999</v>
      </c>
      <c r="AC245" s="68">
        <f>O101</f>
        <v>1002.071</v>
      </c>
      <c r="AD245" s="72">
        <f>O122</f>
        <v>1992.5709999999999</v>
      </c>
      <c r="AE245" s="17"/>
      <c r="AF245" s="80">
        <v>110000</v>
      </c>
      <c r="AG245" s="124">
        <v>45866</v>
      </c>
      <c r="AH245" s="52" t="s">
        <v>208</v>
      </c>
      <c r="AI245" s="122"/>
      <c r="AJ245" s="52" t="s">
        <v>99</v>
      </c>
      <c r="AP245" s="43"/>
    </row>
    <row r="246" spans="17:44" x14ac:dyDescent="0.2">
      <c r="Y246" s="68" t="s">
        <v>75</v>
      </c>
      <c r="Z246" s="69">
        <f>Z244*Z245</f>
        <v>107728.56</v>
      </c>
      <c r="AA246" s="69"/>
      <c r="AB246" s="70">
        <f>AB244*AB245</f>
        <v>107784.288</v>
      </c>
      <c r="AC246" s="97">
        <f>AC244*AC245</f>
        <v>73151.183000000005</v>
      </c>
      <c r="AD246" s="98">
        <f>AD244*AD245</f>
        <v>145457.68299999999</v>
      </c>
      <c r="AE246" s="17"/>
      <c r="AF246" s="80">
        <v>150000</v>
      </c>
      <c r="AG246" s="124">
        <v>45856</v>
      </c>
      <c r="AH246" s="52">
        <v>270</v>
      </c>
      <c r="AI246" s="122"/>
      <c r="AJ246" s="52" t="s">
        <v>99</v>
      </c>
    </row>
    <row r="247" spans="17:44" x14ac:dyDescent="0.2">
      <c r="Y247" s="68" t="s">
        <v>283</v>
      </c>
      <c r="Z247" s="71">
        <v>0.36</v>
      </c>
      <c r="AA247" s="71"/>
      <c r="AB247" s="72">
        <v>0.36</v>
      </c>
      <c r="AC247" s="68">
        <v>0.36</v>
      </c>
      <c r="AD247" s="72">
        <v>0.36</v>
      </c>
      <c r="AF247" s="80">
        <v>150000</v>
      </c>
      <c r="AG247" s="124">
        <v>45854</v>
      </c>
      <c r="AH247" s="52">
        <v>270</v>
      </c>
      <c r="AI247" s="122"/>
      <c r="AJ247" s="52" t="s">
        <v>99</v>
      </c>
    </row>
    <row r="248" spans="17:44" x14ac:dyDescent="0.2">
      <c r="Y248" s="68" t="s">
        <v>166</v>
      </c>
      <c r="Z248" s="92">
        <f>Z246*Z247</f>
        <v>38782.281599999995</v>
      </c>
      <c r="AA248" s="92"/>
      <c r="AB248" s="93">
        <f>AB246*AB247</f>
        <v>38802.343679999998</v>
      </c>
      <c r="AC248" s="99">
        <f>AC247*AC246</f>
        <v>26334.425879999999</v>
      </c>
      <c r="AD248" s="100">
        <f>AD247*AD246</f>
        <v>52364.765879999992</v>
      </c>
      <c r="AF248" s="80">
        <v>1665</v>
      </c>
      <c r="AG248" s="124">
        <v>45832</v>
      </c>
      <c r="AH248" s="52" t="s">
        <v>195</v>
      </c>
      <c r="AI248" s="122"/>
      <c r="AJ248" s="52" t="s">
        <v>16</v>
      </c>
    </row>
    <row r="249" spans="17:44" x14ac:dyDescent="0.2">
      <c r="Y249" s="68"/>
      <c r="Z249" s="71"/>
      <c r="AA249" s="71"/>
      <c r="AB249" s="72"/>
      <c r="AC249" s="68"/>
      <c r="AD249" s="72"/>
      <c r="AF249" s="80">
        <v>324000</v>
      </c>
      <c r="AG249" s="124">
        <v>45831</v>
      </c>
      <c r="AH249" s="52">
        <v>500</v>
      </c>
      <c r="AI249" s="122"/>
      <c r="AJ249" s="52" t="s">
        <v>16</v>
      </c>
    </row>
    <row r="250" spans="17:44" x14ac:dyDescent="0.2">
      <c r="Y250" s="68" t="s">
        <v>274</v>
      </c>
      <c r="Z250" s="71"/>
      <c r="AA250" s="71"/>
      <c r="AB250" s="72"/>
      <c r="AC250" s="68"/>
      <c r="AD250" s="72"/>
      <c r="AF250" s="80">
        <v>324000</v>
      </c>
      <c r="AG250" s="124">
        <v>45818</v>
      </c>
      <c r="AH250" s="52">
        <v>500</v>
      </c>
      <c r="AI250" s="122"/>
      <c r="AJ250" s="52" t="s">
        <v>16</v>
      </c>
    </row>
    <row r="251" spans="17:44" x14ac:dyDescent="0.2">
      <c r="Y251" s="68"/>
      <c r="Z251" s="69"/>
      <c r="AA251" s="69"/>
      <c r="AB251" s="72"/>
      <c r="AC251" s="68"/>
      <c r="AD251" s="72"/>
      <c r="AF251" s="80">
        <v>31780</v>
      </c>
      <c r="AG251" s="124">
        <v>45810</v>
      </c>
      <c r="AH251" s="52" t="s">
        <v>182</v>
      </c>
      <c r="AI251" s="52"/>
      <c r="AJ251" s="52" t="s">
        <v>99</v>
      </c>
    </row>
    <row r="252" spans="17:44" x14ac:dyDescent="0.2">
      <c r="Y252" s="68"/>
      <c r="Z252" s="95" t="s">
        <v>17</v>
      </c>
      <c r="AA252" s="95"/>
      <c r="AB252" s="93">
        <f>AB248+Z248</f>
        <v>77584.625279999993</v>
      </c>
      <c r="AC252" s="68" t="s">
        <v>308</v>
      </c>
      <c r="AD252" s="100">
        <f>AC248+AD248</f>
        <v>78699.191759999987</v>
      </c>
      <c r="AF252" s="80">
        <v>324000</v>
      </c>
      <c r="AG252" s="124">
        <v>45807</v>
      </c>
      <c r="AH252" s="52">
        <v>500</v>
      </c>
      <c r="AI252" s="52"/>
      <c r="AJ252" s="52" t="s">
        <v>16</v>
      </c>
    </row>
    <row r="253" spans="17:44" x14ac:dyDescent="0.2">
      <c r="Y253" s="68"/>
      <c r="Z253" s="71"/>
      <c r="AA253" s="71"/>
      <c r="AB253" s="72"/>
      <c r="AC253" s="68" t="s">
        <v>68</v>
      </c>
      <c r="AD253" s="70">
        <f>AB263</f>
        <v>11456.374720000007</v>
      </c>
      <c r="AF253" s="80">
        <v>325000</v>
      </c>
      <c r="AG253" s="124">
        <v>45806</v>
      </c>
      <c r="AH253" s="52">
        <v>500</v>
      </c>
      <c r="AI253" s="52"/>
      <c r="AJ253" s="52" t="s">
        <v>99</v>
      </c>
    </row>
    <row r="254" spans="17:44" x14ac:dyDescent="0.2">
      <c r="Y254" s="68"/>
      <c r="Z254" s="71" t="s">
        <v>275</v>
      </c>
      <c r="AA254" s="71"/>
      <c r="AB254" s="70">
        <v>15300</v>
      </c>
      <c r="AC254" s="68"/>
      <c r="AD254" s="72"/>
      <c r="AF254" s="80">
        <v>648000</v>
      </c>
      <c r="AG254" s="124">
        <v>45786</v>
      </c>
      <c r="AH254" s="52">
        <v>1000</v>
      </c>
      <c r="AI254" s="52" t="s">
        <v>129</v>
      </c>
      <c r="AJ254" s="52" t="s">
        <v>16</v>
      </c>
    </row>
    <row r="255" spans="17:44" x14ac:dyDescent="0.2">
      <c r="Y255" s="68"/>
      <c r="Z255" s="75" t="s">
        <v>276</v>
      </c>
      <c r="AA255" s="75"/>
      <c r="AB255" s="70">
        <v>1200</v>
      </c>
      <c r="AC255" s="68" t="s">
        <v>309</v>
      </c>
      <c r="AD255" s="100">
        <f>AD252-AD253</f>
        <v>67242.81703999998</v>
      </c>
      <c r="AF255" s="80">
        <v>514200</v>
      </c>
      <c r="AG255" s="124">
        <v>45772</v>
      </c>
      <c r="AH255" s="52">
        <v>800</v>
      </c>
      <c r="AI255" s="52" t="s">
        <v>127</v>
      </c>
      <c r="AJ255" s="52" t="s">
        <v>16</v>
      </c>
    </row>
    <row r="256" spans="17:44" x14ac:dyDescent="0.2">
      <c r="Y256" s="68"/>
      <c r="Z256" s="75" t="s">
        <v>277</v>
      </c>
      <c r="AA256" s="75"/>
      <c r="AB256" s="70">
        <v>12900</v>
      </c>
      <c r="AC256" s="68" t="s">
        <v>342</v>
      </c>
      <c r="AD256" s="100">
        <v>50000</v>
      </c>
      <c r="AF256" s="80">
        <v>325000</v>
      </c>
      <c r="AG256" s="124">
        <v>45762</v>
      </c>
      <c r="AH256" s="52">
        <v>500</v>
      </c>
      <c r="AI256" s="52"/>
      <c r="AJ256" s="52" t="s">
        <v>99</v>
      </c>
    </row>
    <row r="257" spans="18:36" x14ac:dyDescent="0.2">
      <c r="Y257" s="68"/>
      <c r="Z257" s="75" t="s">
        <v>279</v>
      </c>
      <c r="AA257" s="75"/>
      <c r="AB257" s="70">
        <v>7000</v>
      </c>
      <c r="AC257" s="68" t="s">
        <v>341</v>
      </c>
      <c r="AD257" s="100">
        <f>AD255-AD256</f>
        <v>17242.81703999998</v>
      </c>
      <c r="AF257" s="80">
        <v>632000</v>
      </c>
      <c r="AG257" s="124">
        <v>45749</v>
      </c>
      <c r="AH257" s="52">
        <v>1000</v>
      </c>
      <c r="AI257" s="52"/>
      <c r="AJ257" s="52" t="s">
        <v>16</v>
      </c>
    </row>
    <row r="258" spans="18:36" x14ac:dyDescent="0.2">
      <c r="Y258" s="68"/>
      <c r="Z258" s="75" t="s">
        <v>280</v>
      </c>
      <c r="AA258" s="75"/>
      <c r="AB258" s="70">
        <v>5000</v>
      </c>
      <c r="AC258" s="68"/>
      <c r="AD258" s="72" t="s">
        <v>194</v>
      </c>
      <c r="AF258" s="80">
        <v>632000</v>
      </c>
      <c r="AG258" s="124">
        <v>45736</v>
      </c>
      <c r="AH258" s="52">
        <v>1000</v>
      </c>
      <c r="AI258" s="52"/>
      <c r="AJ258" s="52" t="s">
        <v>16</v>
      </c>
    </row>
    <row r="259" spans="18:36" x14ac:dyDescent="0.2">
      <c r="Y259" s="68"/>
      <c r="Z259" s="75" t="s">
        <v>281</v>
      </c>
      <c r="AA259" s="75"/>
      <c r="AB259" s="94">
        <v>10400</v>
      </c>
      <c r="AC259" s="68"/>
      <c r="AD259" s="72"/>
      <c r="AF259" s="80">
        <v>632000</v>
      </c>
      <c r="AG259" s="124">
        <v>45721</v>
      </c>
      <c r="AH259" s="52">
        <v>1000</v>
      </c>
      <c r="AI259" s="52"/>
      <c r="AJ259" s="52" t="s">
        <v>16</v>
      </c>
    </row>
    <row r="260" spans="18:36" x14ac:dyDescent="0.2">
      <c r="Y260" s="68"/>
      <c r="Z260" s="75" t="s">
        <v>282</v>
      </c>
      <c r="AA260" s="75"/>
      <c r="AB260" s="94">
        <v>5441</v>
      </c>
      <c r="AC260" s="68"/>
      <c r="AD260" s="72"/>
      <c r="AF260" s="80">
        <v>632000</v>
      </c>
      <c r="AG260" s="125">
        <v>45706</v>
      </c>
      <c r="AH260" s="126">
        <v>1000</v>
      </c>
      <c r="AI260" s="52"/>
      <c r="AJ260" s="52" t="s">
        <v>16</v>
      </c>
    </row>
    <row r="261" spans="18:36" x14ac:dyDescent="0.2">
      <c r="Y261" s="68"/>
      <c r="Z261" s="95" t="s">
        <v>307</v>
      </c>
      <c r="AA261" s="95"/>
      <c r="AB261" s="93">
        <f>AB252-AB254+AB255-AB256-AB257+AB258+AB259-AB260</f>
        <v>53543.625279999993</v>
      </c>
      <c r="AC261" s="68"/>
      <c r="AD261" s="72"/>
      <c r="AF261" s="80">
        <v>21610</v>
      </c>
      <c r="AG261" s="125">
        <v>45692</v>
      </c>
      <c r="AH261" s="52"/>
      <c r="AI261" s="52"/>
      <c r="AJ261" s="52" t="s">
        <v>16</v>
      </c>
    </row>
    <row r="262" spans="18:36" x14ac:dyDescent="0.2">
      <c r="Y262" s="68"/>
      <c r="Z262" s="95" t="s">
        <v>278</v>
      </c>
      <c r="AA262" s="95"/>
      <c r="AB262" s="93">
        <v>65000</v>
      </c>
      <c r="AC262" s="68"/>
      <c r="AD262" s="72"/>
      <c r="AF262" s="80">
        <v>200000</v>
      </c>
      <c r="AG262" s="125">
        <v>45687</v>
      </c>
      <c r="AH262" s="126">
        <v>300</v>
      </c>
      <c r="AI262" s="52"/>
      <c r="AJ262" s="52" t="s">
        <v>16</v>
      </c>
    </row>
    <row r="263" spans="18:36" x14ac:dyDescent="0.2">
      <c r="Y263" s="68"/>
      <c r="Z263" s="75" t="s">
        <v>68</v>
      </c>
      <c r="AA263" s="75"/>
      <c r="AB263" s="102">
        <f>AB262-AB261</f>
        <v>11456.374720000007</v>
      </c>
      <c r="AC263" s="68"/>
      <c r="AD263" s="72"/>
      <c r="AF263" s="80">
        <v>50000</v>
      </c>
      <c r="AG263" s="125">
        <v>45680</v>
      </c>
      <c r="AH263" s="114"/>
      <c r="AI263" s="52"/>
      <c r="AJ263" s="52" t="s">
        <v>16</v>
      </c>
    </row>
    <row r="264" spans="18:36" ht="16" thickBot="1" x14ac:dyDescent="0.25">
      <c r="R264" s="77"/>
      <c r="S264" s="78"/>
      <c r="T264" s="77"/>
      <c r="U264" s="77"/>
      <c r="Y264" s="73"/>
      <c r="Z264" s="76"/>
      <c r="AA264" s="76"/>
      <c r="AB264" s="74"/>
      <c r="AC264" s="73"/>
      <c r="AD264" s="101"/>
      <c r="AF264" s="80">
        <v>300000</v>
      </c>
      <c r="AG264" s="125">
        <v>45674</v>
      </c>
      <c r="AH264" s="127">
        <v>500</v>
      </c>
      <c r="AI264" s="52"/>
      <c r="AJ264" s="52" t="s">
        <v>16</v>
      </c>
    </row>
    <row r="265" spans="18:36" x14ac:dyDescent="0.2">
      <c r="R265" s="79"/>
      <c r="S265" s="79"/>
      <c r="T265" s="79"/>
      <c r="U265" s="79"/>
      <c r="Z265" s="75"/>
      <c r="AA265" s="75"/>
      <c r="AB265" s="17"/>
      <c r="AF265" s="80">
        <v>332000</v>
      </c>
      <c r="AG265" s="125">
        <v>45664</v>
      </c>
      <c r="AH265" s="127">
        <v>500</v>
      </c>
      <c r="AI265" s="52"/>
      <c r="AJ265" s="52" t="s">
        <v>16</v>
      </c>
    </row>
    <row r="266" spans="18:36" x14ac:dyDescent="0.2">
      <c r="R266" s="79"/>
      <c r="S266" s="79"/>
      <c r="T266" s="79"/>
      <c r="U266" s="79"/>
      <c r="AF266" s="80">
        <v>332000</v>
      </c>
      <c r="AG266" s="125">
        <v>45656</v>
      </c>
      <c r="AH266" s="127">
        <v>500</v>
      </c>
      <c r="AI266" s="52"/>
      <c r="AJ266" s="52" t="s">
        <v>16</v>
      </c>
    </row>
    <row r="267" spans="18:36" x14ac:dyDescent="0.2">
      <c r="R267" s="43"/>
      <c r="T267" s="43"/>
      <c r="U267" s="43"/>
      <c r="Y267" s="41" t="s">
        <v>209</v>
      </c>
      <c r="Z267" s="17">
        <f>SUM(AC87)</f>
        <v>1107210.2</v>
      </c>
      <c r="AA267" s="17"/>
      <c r="AB267" s="17">
        <f>AC88+AC89+AC90</f>
        <v>1107782.96</v>
      </c>
      <c r="AF267" s="80">
        <v>339500</v>
      </c>
      <c r="AG267" s="125">
        <v>45649</v>
      </c>
      <c r="AH267" s="127">
        <v>500</v>
      </c>
      <c r="AI267" s="52"/>
      <c r="AJ267" s="52" t="s">
        <v>16</v>
      </c>
    </row>
    <row r="268" spans="18:36" x14ac:dyDescent="0.2">
      <c r="Y268" s="41" t="s">
        <v>211</v>
      </c>
      <c r="Z268" s="15">
        <f>72*O87</f>
        <v>107728.56</v>
      </c>
      <c r="AA268" s="15"/>
      <c r="AB268" s="17">
        <f>72*O91</f>
        <v>107784.288</v>
      </c>
      <c r="AF268" s="80">
        <v>679000</v>
      </c>
      <c r="AG268" s="124">
        <v>45643</v>
      </c>
      <c r="AH268" s="52">
        <v>1000</v>
      </c>
      <c r="AI268" s="52"/>
      <c r="AJ268" s="52" t="s">
        <v>16</v>
      </c>
    </row>
    <row r="269" spans="18:36" x14ac:dyDescent="0.2">
      <c r="Y269" s="41" t="s">
        <v>210</v>
      </c>
      <c r="Z269" s="43">
        <f>Z268*0.25</f>
        <v>26932.14</v>
      </c>
      <c r="AA269" s="43"/>
      <c r="AB269" s="17">
        <f>AB268*0.25</f>
        <v>26946.072</v>
      </c>
    </row>
    <row r="270" spans="18:36" x14ac:dyDescent="0.2">
      <c r="Y270" s="41" t="s">
        <v>212</v>
      </c>
      <c r="Z270">
        <v>18.899999999999999</v>
      </c>
      <c r="AB270" s="91">
        <v>18.309999999999999</v>
      </c>
    </row>
    <row r="271" spans="18:36" x14ac:dyDescent="0.2">
      <c r="Y271" s="41" t="s">
        <v>80</v>
      </c>
      <c r="Z271" s="43">
        <f>Z269*Z270</f>
        <v>509017.44599999994</v>
      </c>
      <c r="AA271" s="43"/>
      <c r="AB271" s="17">
        <v>491765.81</v>
      </c>
      <c r="AD271" s="88" t="s">
        <v>237</v>
      </c>
      <c r="AE271" s="88"/>
      <c r="AF271" s="88"/>
      <c r="AG271" s="88"/>
      <c r="AH271" s="88"/>
    </row>
    <row r="272" spans="18:36" x14ac:dyDescent="0.2">
      <c r="Y272" s="41" t="s">
        <v>213</v>
      </c>
      <c r="Z272" s="43">
        <f>Z271*0.05</f>
        <v>25450.872299999999</v>
      </c>
      <c r="AA272" s="43"/>
      <c r="AB272" s="17">
        <f>AB271*0.05</f>
        <v>24588.290500000003</v>
      </c>
      <c r="AD272" s="52"/>
      <c r="AE272" s="85" t="s">
        <v>236</v>
      </c>
      <c r="AF272" s="85" t="s">
        <v>234</v>
      </c>
      <c r="AG272" s="82"/>
      <c r="AH272" s="82" t="s">
        <v>235</v>
      </c>
    </row>
    <row r="273" spans="24:40" x14ac:dyDescent="0.2">
      <c r="Y273" s="41" t="s">
        <v>244</v>
      </c>
      <c r="Z273" s="110">
        <f>O87</f>
        <v>1496.23</v>
      </c>
      <c r="AA273" s="110"/>
      <c r="AB273" s="110">
        <f>O91</f>
        <v>1497.0039999999999</v>
      </c>
      <c r="AC273" s="111"/>
      <c r="AD273" s="52" t="s">
        <v>128</v>
      </c>
      <c r="AE273" s="53">
        <f>SUM(W66,W76,W87,W91,W101,W122)</f>
        <v>8571607.8409999982</v>
      </c>
      <c r="AF273" s="86">
        <f>SUMIF(AJ223:AJ268,"Arauco",AF223:AF268)</f>
        <v>8589229</v>
      </c>
      <c r="AG273" s="52" t="s">
        <v>128</v>
      </c>
      <c r="AH273" s="87">
        <f>AE273-AF273</f>
        <v>-17621.159000001848</v>
      </c>
    </row>
    <row r="274" spans="24:40" x14ac:dyDescent="0.2">
      <c r="X274" s="111"/>
      <c r="Y274" s="41" t="s">
        <v>17</v>
      </c>
      <c r="Z274" s="105">
        <f>Z271-Z272</f>
        <v>483566.57369999995</v>
      </c>
      <c r="AA274" s="105"/>
      <c r="AB274" s="104">
        <f>AB271-AB272</f>
        <v>467177.51949999999</v>
      </c>
      <c r="AD274" s="52" t="s">
        <v>181</v>
      </c>
      <c r="AE274" s="53">
        <f>SUM(W83,W98,W109,W116,W118,W131,W143,W146,W153,W161,W169,W176,W183,W193,W206)</f>
        <v>4994869.585</v>
      </c>
      <c r="AF274" s="86">
        <f>SUMIF(AJ222:AJ268,"CPP",AF222:AF268)</f>
        <v>4920001</v>
      </c>
      <c r="AG274" s="52" t="s">
        <v>99</v>
      </c>
      <c r="AH274" s="87">
        <f>AE274-AF274</f>
        <v>74868.584999999963</v>
      </c>
    </row>
    <row r="275" spans="24:40" x14ac:dyDescent="0.2">
      <c r="Y275" s="41"/>
      <c r="Z275" t="s">
        <v>136</v>
      </c>
      <c r="AB275" t="s">
        <v>136</v>
      </c>
      <c r="AD275" s="52" t="s">
        <v>141</v>
      </c>
      <c r="AE275" s="53">
        <f>SUM(AE273:AE274)</f>
        <v>13566477.425999999</v>
      </c>
      <c r="AF275" s="86">
        <f>SUM(AF228:AF268)</f>
        <v>12180230</v>
      </c>
      <c r="AG275" s="52" t="s">
        <v>17</v>
      </c>
      <c r="AH275" s="87">
        <f>SUM(AH273:AH274)</f>
        <v>57247.425999998115</v>
      </c>
    </row>
    <row r="276" spans="24:40" x14ac:dyDescent="0.2">
      <c r="Y276" s="41" t="s">
        <v>209</v>
      </c>
      <c r="Z276" s="17">
        <f>AC101</f>
        <v>711470.40999999992</v>
      </c>
      <c r="AA276" s="17"/>
      <c r="AB276" s="17">
        <f>AC122</f>
        <v>1235394.02</v>
      </c>
    </row>
    <row r="277" spans="24:40" ht="15" customHeight="1" x14ac:dyDescent="0.2">
      <c r="Y277" s="41" t="s">
        <v>245</v>
      </c>
      <c r="Z277" s="17">
        <f>73*O101</f>
        <v>73151.183000000005</v>
      </c>
      <c r="AA277" s="17"/>
      <c r="AB277" s="15">
        <f>73*O122</f>
        <v>145457.68299999999</v>
      </c>
      <c r="AF277" s="56" t="s">
        <v>142</v>
      </c>
      <c r="AG277" s="56"/>
      <c r="AI277" s="57" t="s">
        <v>164</v>
      </c>
      <c r="AJ277" s="57"/>
      <c r="AK277" s="57"/>
      <c r="AL277" s="36"/>
      <c r="AM277" s="56" t="s">
        <v>146</v>
      </c>
      <c r="AN277" s="56"/>
    </row>
    <row r="278" spans="24:40" x14ac:dyDescent="0.2">
      <c r="Y278" s="41" t="s">
        <v>210</v>
      </c>
      <c r="Z278" s="17">
        <f>Z277*0.25</f>
        <v>18287.795750000001</v>
      </c>
      <c r="AA278" s="17"/>
      <c r="AB278" s="43">
        <f>AB277*0.25</f>
        <v>36364.420749999997</v>
      </c>
      <c r="AF278" s="41" t="s">
        <v>143</v>
      </c>
      <c r="AI278" s="49"/>
      <c r="AJ278" s="49"/>
      <c r="AK278" s="49"/>
      <c r="AM278" s="41" t="s">
        <v>143</v>
      </c>
    </row>
    <row r="279" spans="24:40" x14ac:dyDescent="0.2">
      <c r="Y279" s="41" t="s">
        <v>212</v>
      </c>
      <c r="Z279">
        <v>18.2</v>
      </c>
      <c r="AB279" s="91">
        <v>17.7</v>
      </c>
      <c r="AF279" t="s">
        <v>137</v>
      </c>
      <c r="AG279">
        <v>3300</v>
      </c>
      <c r="AI279" s="49" t="s">
        <v>162</v>
      </c>
      <c r="AJ279" s="49" t="s">
        <v>137</v>
      </c>
      <c r="AK279" s="49" t="s">
        <v>80</v>
      </c>
      <c r="AM279" t="s">
        <v>137</v>
      </c>
      <c r="AN279">
        <v>3300</v>
      </c>
    </row>
    <row r="280" spans="24:40" x14ac:dyDescent="0.2">
      <c r="Y280" s="41" t="s">
        <v>141</v>
      </c>
      <c r="Z280" s="17">
        <f>Z278*Z279</f>
        <v>332837.88264999999</v>
      </c>
      <c r="AA280" s="17"/>
      <c r="AB280" s="43">
        <f>AB278*AB279</f>
        <v>643650.24727499997</v>
      </c>
      <c r="AF280" t="s">
        <v>138</v>
      </c>
      <c r="AG280">
        <f>O66</f>
        <v>3370.0310000000004</v>
      </c>
      <c r="AI280" s="49">
        <v>15</v>
      </c>
      <c r="AJ280" s="49">
        <f>AG62</f>
        <v>0</v>
      </c>
      <c r="AK280" s="50">
        <f>AI280*AJ280</f>
        <v>0</v>
      </c>
      <c r="AM280" t="s">
        <v>138</v>
      </c>
      <c r="AN280">
        <v>3370.0309999999999</v>
      </c>
    </row>
    <row r="281" spans="24:40" x14ac:dyDescent="0.2">
      <c r="Y281" s="103" t="s">
        <v>213</v>
      </c>
      <c r="Z281" s="17">
        <f>Z280*0.05</f>
        <v>16641.894132500001</v>
      </c>
      <c r="AA281" s="17"/>
      <c r="AB281" s="43">
        <f>AB280*0.05</f>
        <v>32182.51236375</v>
      </c>
      <c r="AF281" t="s">
        <v>139</v>
      </c>
      <c r="AG281">
        <f>AG280-AG279</f>
        <v>70.031000000000404</v>
      </c>
      <c r="AI281" s="49">
        <v>15</v>
      </c>
      <c r="AJ281" s="49">
        <f>AG63</f>
        <v>0</v>
      </c>
      <c r="AK281" s="50">
        <f t="shared" ref="AK281:AK283" si="91">AI281*AJ281</f>
        <v>0</v>
      </c>
    </row>
    <row r="282" spans="24:40" x14ac:dyDescent="0.2">
      <c r="X282" s="111"/>
      <c r="Y282" s="41" t="s">
        <v>244</v>
      </c>
      <c r="Z282" s="110">
        <f>O101</f>
        <v>1002.071</v>
      </c>
      <c r="AA282" s="110"/>
      <c r="AB282" s="110">
        <f>O122</f>
        <v>1992.5709999999999</v>
      </c>
      <c r="AF282" t="s">
        <v>140</v>
      </c>
      <c r="AG282" s="15">
        <v>755</v>
      </c>
      <c r="AI282" s="49">
        <v>15</v>
      </c>
      <c r="AJ282" s="49">
        <f>AG64</f>
        <v>0</v>
      </c>
      <c r="AK282" s="50">
        <f t="shared" si="91"/>
        <v>0</v>
      </c>
      <c r="AM282" t="s">
        <v>136</v>
      </c>
      <c r="AN282" s="43">
        <f>SUM(AF261:AF268)</f>
        <v>2254110</v>
      </c>
    </row>
    <row r="283" spans="24:40" x14ac:dyDescent="0.2">
      <c r="Y283" s="41" t="s">
        <v>17</v>
      </c>
      <c r="Z283" s="104">
        <f>Z280-Z281</f>
        <v>316195.98851749999</v>
      </c>
      <c r="AA283" s="104"/>
      <c r="AB283" s="104">
        <f>AB280-AB281</f>
        <v>611467.73491124995</v>
      </c>
      <c r="AF283" t="s">
        <v>159</v>
      </c>
      <c r="AG283" s="44">
        <f>AG281*AG282</f>
        <v>52873.405000000304</v>
      </c>
      <c r="AI283" s="49">
        <v>15</v>
      </c>
      <c r="AJ283" s="49">
        <f>AG65</f>
        <v>0</v>
      </c>
      <c r="AK283" s="50">
        <f t="shared" si="91"/>
        <v>0</v>
      </c>
      <c r="AM283" t="s">
        <v>147</v>
      </c>
      <c r="AN283" s="17">
        <f>W66</f>
        <v>2260662.449</v>
      </c>
    </row>
    <row r="284" spans="24:40" x14ac:dyDescent="0.2">
      <c r="Z284" t="s">
        <v>136</v>
      </c>
      <c r="AB284" t="s">
        <v>136</v>
      </c>
      <c r="AI284" s="49"/>
      <c r="AJ284" s="49"/>
      <c r="AK284" s="50"/>
      <c r="AM284" s="41" t="s">
        <v>148</v>
      </c>
      <c r="AN284" s="45">
        <f>AN282-AN283</f>
        <v>-6552.4490000000224</v>
      </c>
    </row>
    <row r="285" spans="24:40" x14ac:dyDescent="0.2">
      <c r="Y285" s="41"/>
      <c r="AB285" s="111"/>
      <c r="AF285" t="s">
        <v>145</v>
      </c>
      <c r="AG285" s="17">
        <v>2491500</v>
      </c>
      <c r="AI285" s="49"/>
      <c r="AJ285" s="49" t="s">
        <v>17</v>
      </c>
      <c r="AK285" s="50">
        <f>SUM(AK280:AK283)</f>
        <v>0</v>
      </c>
    </row>
    <row r="286" spans="24:40" x14ac:dyDescent="0.2">
      <c r="Y286" s="41"/>
      <c r="AF286" t="s">
        <v>141</v>
      </c>
      <c r="AG286" s="17">
        <f>AC66</f>
        <v>2544373.4050000003</v>
      </c>
      <c r="AI286" s="49"/>
      <c r="AJ286" s="49" t="s">
        <v>165</v>
      </c>
      <c r="AK286" s="51">
        <f>AG287</f>
        <v>52873.405000000261</v>
      </c>
    </row>
    <row r="287" spans="24:40" x14ac:dyDescent="0.2">
      <c r="Y287" s="41"/>
      <c r="AF287" t="s">
        <v>159</v>
      </c>
      <c r="AG287" s="44">
        <f>AG286-AG285</f>
        <v>52873.405000000261</v>
      </c>
      <c r="AI287" s="49"/>
      <c r="AJ287" s="49" t="s">
        <v>163</v>
      </c>
      <c r="AK287" s="51">
        <f>+AK286-AK285</f>
        <v>52873.405000000261</v>
      </c>
    </row>
    <row r="288" spans="24:40" x14ac:dyDescent="0.2">
      <c r="Y288" s="41"/>
    </row>
    <row r="289" spans="25:40" ht="16" customHeight="1" x14ac:dyDescent="0.2">
      <c r="Y289" s="41"/>
      <c r="AF289" t="s">
        <v>154</v>
      </c>
    </row>
    <row r="290" spans="25:40" ht="16" customHeight="1" x14ac:dyDescent="0.2">
      <c r="Y290" s="103"/>
      <c r="AB290" s="43"/>
      <c r="AF290" t="s">
        <v>155</v>
      </c>
      <c r="AG290" t="s">
        <v>156</v>
      </c>
      <c r="AH290" t="s">
        <v>75</v>
      </c>
    </row>
    <row r="291" spans="25:40" ht="16" customHeight="1" x14ac:dyDescent="0.2">
      <c r="Y291" s="41"/>
      <c r="AF291">
        <f>O59-500</f>
        <v>10.76400000000001</v>
      </c>
      <c r="AG291" s="17">
        <f>X59-V59</f>
        <v>76</v>
      </c>
      <c r="AH291" s="17">
        <f>AG291*AF291</f>
        <v>818.06400000000076</v>
      </c>
    </row>
    <row r="292" spans="25:40" ht="16" customHeight="1" x14ac:dyDescent="0.2">
      <c r="Y292" s="41"/>
      <c r="AF292">
        <f>O60-500</f>
        <v>10.338999999999999</v>
      </c>
      <c r="AG292" s="17">
        <f>X60-V60</f>
        <v>76</v>
      </c>
      <c r="AH292" s="17">
        <f t="shared" ref="AH292:AH297" si="92">AG292*AF292</f>
        <v>785.7639999999999</v>
      </c>
    </row>
    <row r="293" spans="25:40" ht="16" customHeight="1" x14ac:dyDescent="0.2">
      <c r="AF293">
        <f>O61-500</f>
        <v>9.6879999999999882</v>
      </c>
      <c r="AG293" s="17">
        <f>X61-V61</f>
        <v>76</v>
      </c>
      <c r="AH293" s="17">
        <f t="shared" si="92"/>
        <v>736.2879999999991</v>
      </c>
    </row>
    <row r="294" spans="25:40" ht="16" customHeight="1" x14ac:dyDescent="0.2">
      <c r="AE294" t="s">
        <v>157</v>
      </c>
      <c r="AF294">
        <f>O62-500</f>
        <v>10.899999999999977</v>
      </c>
      <c r="AG294" s="17">
        <f>X62-V62</f>
        <v>91</v>
      </c>
      <c r="AH294" s="17">
        <f t="shared" si="92"/>
        <v>991.89999999999793</v>
      </c>
    </row>
    <row r="295" spans="25:40" ht="16" customHeight="1" x14ac:dyDescent="0.2">
      <c r="AE295" t="s">
        <v>157</v>
      </c>
      <c r="AF295">
        <f>O63-500</f>
        <v>10.899999999999977</v>
      </c>
      <c r="AG295" s="17">
        <f>X63-V63</f>
        <v>91</v>
      </c>
      <c r="AH295" s="17">
        <f t="shared" si="92"/>
        <v>991.89999999999793</v>
      </c>
    </row>
    <row r="296" spans="25:40" ht="16" customHeight="1" x14ac:dyDescent="0.2">
      <c r="AE296" t="s">
        <v>157</v>
      </c>
      <c r="AF296">
        <f>O64-500</f>
        <v>10.899999999999977</v>
      </c>
      <c r="AG296" s="17">
        <f>X64-V64</f>
        <v>91</v>
      </c>
      <c r="AH296" s="17">
        <f t="shared" si="92"/>
        <v>991.89999999999793</v>
      </c>
    </row>
    <row r="297" spans="25:40" ht="16" customHeight="1" x14ac:dyDescent="0.2">
      <c r="AE297" t="s">
        <v>157</v>
      </c>
      <c r="AF297">
        <f>O65-300</f>
        <v>6.5400000000000205</v>
      </c>
      <c r="AG297" s="17">
        <f>X65-V65</f>
        <v>91</v>
      </c>
      <c r="AH297" s="17">
        <f t="shared" si="92"/>
        <v>595.14000000000192</v>
      </c>
    </row>
    <row r="298" spans="25:40" ht="16" customHeight="1" x14ac:dyDescent="0.2">
      <c r="AF298" t="s">
        <v>17</v>
      </c>
      <c r="AH298" s="17" t="s">
        <v>17</v>
      </c>
    </row>
    <row r="299" spans="25:40" x14ac:dyDescent="0.2">
      <c r="AF299">
        <f>SUM(AF291:AF297)</f>
        <v>70.030999999999949</v>
      </c>
      <c r="AH299" s="47">
        <f>SUM(AH291:AH297)</f>
        <v>5910.9559999999956</v>
      </c>
    </row>
    <row r="300" spans="25:40" x14ac:dyDescent="0.2">
      <c r="AF300" s="55" t="s">
        <v>158</v>
      </c>
      <c r="AG300" s="55"/>
      <c r="AH300" s="55"/>
    </row>
    <row r="303" spans="25:40" x14ac:dyDescent="0.2">
      <c r="AF303" s="41" t="s">
        <v>144</v>
      </c>
      <c r="AM303" s="41" t="s">
        <v>144</v>
      </c>
    </row>
    <row r="304" spans="25:40" x14ac:dyDescent="0.2">
      <c r="AF304" t="s">
        <v>137</v>
      </c>
      <c r="AG304">
        <v>4300</v>
      </c>
      <c r="AM304" t="s">
        <v>137</v>
      </c>
      <c r="AN304">
        <v>4300</v>
      </c>
    </row>
    <row r="305" spans="32:40" x14ac:dyDescent="0.2">
      <c r="AF305" t="s">
        <v>138</v>
      </c>
      <c r="AG305">
        <f>O76</f>
        <v>4248.7540000000008</v>
      </c>
      <c r="AM305" t="s">
        <v>138</v>
      </c>
      <c r="AN305">
        <f>AG305</f>
        <v>4248.7540000000008</v>
      </c>
    </row>
    <row r="306" spans="32:40" x14ac:dyDescent="0.2">
      <c r="AF306" t="s">
        <v>139</v>
      </c>
      <c r="AG306">
        <f>AG305-AG304</f>
        <v>-51.245999999999185</v>
      </c>
    </row>
    <row r="307" spans="32:40" x14ac:dyDescent="0.2">
      <c r="AF307" t="s">
        <v>140</v>
      </c>
      <c r="AG307" s="15">
        <v>705</v>
      </c>
      <c r="AM307" t="s">
        <v>136</v>
      </c>
      <c r="AN307" s="43">
        <f>SUM(AF257:AF260)+190000</f>
        <v>2718000</v>
      </c>
    </row>
    <row r="308" spans="32:40" x14ac:dyDescent="0.2">
      <c r="AF308" t="s">
        <v>141</v>
      </c>
      <c r="AG308" s="44">
        <f>AG306*AG307</f>
        <v>-36128.429999999425</v>
      </c>
      <c r="AM308" t="s">
        <v>147</v>
      </c>
      <c r="AN308" s="17">
        <f>W76</f>
        <v>2689678.5019999999</v>
      </c>
    </row>
    <row r="309" spans="32:40" x14ac:dyDescent="0.2">
      <c r="AM309" t="s">
        <v>148</v>
      </c>
      <c r="AN309" s="45">
        <f>AN307-AN308</f>
        <v>28321.498000000138</v>
      </c>
    </row>
    <row r="310" spans="32:40" x14ac:dyDescent="0.2">
      <c r="AF310" t="s">
        <v>145</v>
      </c>
      <c r="AG310" s="15">
        <v>3031500</v>
      </c>
    </row>
    <row r="311" spans="32:40" x14ac:dyDescent="0.2">
      <c r="AF311" t="s">
        <v>141</v>
      </c>
      <c r="AG311" s="17">
        <f>AC76</f>
        <v>2995371.57</v>
      </c>
      <c r="AM311" s="41" t="s">
        <v>149</v>
      </c>
    </row>
    <row r="312" spans="32:40" x14ac:dyDescent="0.2">
      <c r="AF312" t="s">
        <v>139</v>
      </c>
      <c r="AG312" s="44">
        <f>AG311-AG310</f>
        <v>-36128.430000000168</v>
      </c>
      <c r="AM312" t="s">
        <v>137</v>
      </c>
      <c r="AN312">
        <v>4300</v>
      </c>
    </row>
    <row r="313" spans="32:40" x14ac:dyDescent="0.2">
      <c r="AM313" t="s">
        <v>138</v>
      </c>
      <c r="AN313">
        <f>AN305</f>
        <v>4248.7540000000008</v>
      </c>
    </row>
    <row r="314" spans="32:40" x14ac:dyDescent="0.2">
      <c r="AF314" s="41" t="s">
        <v>160</v>
      </c>
      <c r="AG314" s="47">
        <f>AG287+AG312</f>
        <v>16744.975000000093</v>
      </c>
    </row>
    <row r="315" spans="32:40" x14ac:dyDescent="0.2">
      <c r="AM315" t="s">
        <v>136</v>
      </c>
      <c r="AN315" s="43">
        <f>AN307</f>
        <v>2718000</v>
      </c>
    </row>
    <row r="316" spans="32:40" x14ac:dyDescent="0.2">
      <c r="AM316" t="s">
        <v>147</v>
      </c>
      <c r="AN316" s="17">
        <f>W67+W68+W69+W70+W71+W72+W73+(O74*668)+(O75*668)</f>
        <v>2716213.4279999998</v>
      </c>
    </row>
    <row r="317" spans="32:40" x14ac:dyDescent="0.2">
      <c r="AM317" t="s">
        <v>148</v>
      </c>
      <c r="AN317" s="45">
        <f>AN315-AN316</f>
        <v>1786.5720000001602</v>
      </c>
    </row>
    <row r="319" spans="32:40" x14ac:dyDescent="0.2">
      <c r="AF319" t="s">
        <v>154</v>
      </c>
    </row>
    <row r="320" spans="32:40" x14ac:dyDescent="0.2">
      <c r="AF320" t="s">
        <v>155</v>
      </c>
      <c r="AG320" t="s">
        <v>156</v>
      </c>
      <c r="AH320" t="s">
        <v>75</v>
      </c>
    </row>
    <row r="321" spans="32:38" x14ac:dyDescent="0.2">
      <c r="AF321">
        <f>O67-500</f>
        <v>11.160000000000025</v>
      </c>
      <c r="AG321" s="17">
        <f>X67-V67</f>
        <v>73</v>
      </c>
      <c r="AH321" s="17">
        <f>AF321*AG321</f>
        <v>814.68000000000188</v>
      </c>
    </row>
    <row r="322" spans="32:38" x14ac:dyDescent="0.2">
      <c r="AF322">
        <f>O68-500</f>
        <v>9.1940000000000168</v>
      </c>
      <c r="AG322" s="17">
        <f>X68-V68</f>
        <v>73</v>
      </c>
      <c r="AH322" s="17">
        <f t="shared" ref="AH322:AH329" si="93">AF322*AG322</f>
        <v>671.16200000000117</v>
      </c>
    </row>
    <row r="323" spans="32:38" x14ac:dyDescent="0.2">
      <c r="AF323">
        <f>O69-500</f>
        <v>-14.966999999999985</v>
      </c>
      <c r="AG323" s="17">
        <f>X69-V69</f>
        <v>73</v>
      </c>
      <c r="AH323" s="17">
        <f t="shared" si="93"/>
        <v>-1092.590999999999</v>
      </c>
    </row>
    <row r="324" spans="32:38" x14ac:dyDescent="0.2">
      <c r="AF324">
        <f>O70-500</f>
        <v>10.379999999999995</v>
      </c>
      <c r="AG324" s="17">
        <f>X70-V70</f>
        <v>73</v>
      </c>
      <c r="AH324" s="17">
        <f t="shared" si="93"/>
        <v>757.73999999999967</v>
      </c>
    </row>
    <row r="325" spans="32:38" x14ac:dyDescent="0.2">
      <c r="AF325">
        <f>O71-500</f>
        <v>-15.939000000000021</v>
      </c>
      <c r="AG325" s="17">
        <f>X71-V71</f>
        <v>71</v>
      </c>
      <c r="AH325" s="17">
        <f t="shared" si="93"/>
        <v>-1131.6690000000015</v>
      </c>
    </row>
    <row r="326" spans="32:38" x14ac:dyDescent="0.2">
      <c r="AF326">
        <f>O72-500</f>
        <v>-15.386000000000024</v>
      </c>
      <c r="AG326" s="17">
        <f>X72-V72</f>
        <v>71</v>
      </c>
      <c r="AH326" s="17">
        <f t="shared" si="93"/>
        <v>-1092.4060000000018</v>
      </c>
    </row>
    <row r="327" spans="32:38" x14ac:dyDescent="0.2">
      <c r="AF327">
        <f>O73-500</f>
        <v>-16.12700000000001</v>
      </c>
      <c r="AG327" s="17">
        <f>X73-V73</f>
        <v>71</v>
      </c>
      <c r="AH327" s="17">
        <f t="shared" si="93"/>
        <v>-1145.0170000000007</v>
      </c>
    </row>
    <row r="328" spans="32:38" x14ac:dyDescent="0.2">
      <c r="AF328">
        <f>O74-500</f>
        <v>-17.918999999999983</v>
      </c>
      <c r="AG328" s="17">
        <f>X74-V74</f>
        <v>71</v>
      </c>
      <c r="AH328" s="17">
        <f t="shared" si="93"/>
        <v>-1272.2489999999989</v>
      </c>
    </row>
    <row r="329" spans="32:38" x14ac:dyDescent="0.2">
      <c r="AF329">
        <f>O75-300</f>
        <v>-1.6419999999999959</v>
      </c>
      <c r="AG329" s="17">
        <f>X75-V75</f>
        <v>71</v>
      </c>
      <c r="AH329" s="17">
        <f t="shared" si="93"/>
        <v>-116.58199999999971</v>
      </c>
    </row>
    <row r="330" spans="32:38" x14ac:dyDescent="0.2">
      <c r="AF330" t="s">
        <v>17</v>
      </c>
      <c r="AH330" s="17" t="s">
        <v>17</v>
      </c>
    </row>
    <row r="331" spans="32:38" x14ac:dyDescent="0.2">
      <c r="AF331">
        <f>SUM(AF321:AF329)</f>
        <v>-51.245999999999981</v>
      </c>
      <c r="AH331" s="47">
        <f>SUM(AH321:AH329)</f>
        <v>-3606.9319999999993</v>
      </c>
    </row>
    <row r="332" spans="32:38" x14ac:dyDescent="0.2">
      <c r="AF332" s="55" t="s">
        <v>161</v>
      </c>
      <c r="AG332" s="55"/>
      <c r="AH332" s="55"/>
    </row>
    <row r="336" spans="32:38" x14ac:dyDescent="0.2">
      <c r="AF336" s="56" t="s">
        <v>151</v>
      </c>
      <c r="AG336" s="56"/>
      <c r="AI336" s="55" t="s">
        <v>150</v>
      </c>
      <c r="AJ336" s="55"/>
      <c r="AK336" s="46"/>
      <c r="AL336" s="46"/>
    </row>
    <row r="337" spans="32:38" x14ac:dyDescent="0.2">
      <c r="AF337" t="s">
        <v>137</v>
      </c>
      <c r="AG337">
        <f>O83</f>
        <v>548.89300000000003</v>
      </c>
      <c r="AI337" t="s">
        <v>152</v>
      </c>
      <c r="AJ337">
        <v>500</v>
      </c>
    </row>
    <row r="338" spans="32:38" x14ac:dyDescent="0.2">
      <c r="AF338" t="s">
        <v>138</v>
      </c>
      <c r="AG338">
        <f>AG337</f>
        <v>548.89300000000003</v>
      </c>
      <c r="AI338" t="s">
        <v>138</v>
      </c>
      <c r="AJ338">
        <f>AG338</f>
        <v>548.89300000000003</v>
      </c>
    </row>
    <row r="339" spans="32:38" x14ac:dyDescent="0.2">
      <c r="AF339" t="s">
        <v>139</v>
      </c>
      <c r="AG339">
        <v>0</v>
      </c>
    </row>
    <row r="340" spans="32:38" x14ac:dyDescent="0.2">
      <c r="AF340" t="s">
        <v>140</v>
      </c>
      <c r="AG340">
        <v>800</v>
      </c>
      <c r="AI340" t="s">
        <v>136</v>
      </c>
      <c r="AJ340" s="43">
        <f>AF256</f>
        <v>325000</v>
      </c>
      <c r="AK340" s="43"/>
      <c r="AL340" s="43"/>
    </row>
    <row r="341" spans="32:38" x14ac:dyDescent="0.2">
      <c r="AF341" t="s">
        <v>141</v>
      </c>
      <c r="AG341" s="15">
        <f>AG338*AG340</f>
        <v>439114.4</v>
      </c>
      <c r="AI341" t="s">
        <v>153</v>
      </c>
      <c r="AJ341" s="17">
        <f>W83</f>
        <v>356780.45</v>
      </c>
      <c r="AK341" s="17"/>
      <c r="AL341" s="17"/>
    </row>
    <row r="342" spans="32:38" x14ac:dyDescent="0.2">
      <c r="AI342" t="s">
        <v>148</v>
      </c>
      <c r="AJ342" s="45">
        <f>AJ340-AJ341</f>
        <v>-31780.450000000012</v>
      </c>
    </row>
  </sheetData>
  <mergeCells count="17">
    <mergeCell ref="L58:AD58"/>
    <mergeCell ref="AF61:AH61"/>
    <mergeCell ref="K39:K45"/>
    <mergeCell ref="K24:K30"/>
    <mergeCell ref="K19:K22"/>
    <mergeCell ref="K32:K37"/>
    <mergeCell ref="K47:K52"/>
    <mergeCell ref="AF221:AJ221"/>
    <mergeCell ref="AF277:AG277"/>
    <mergeCell ref="AM277:AN277"/>
    <mergeCell ref="AI336:AJ336"/>
    <mergeCell ref="AF336:AG336"/>
    <mergeCell ref="AF300:AH300"/>
    <mergeCell ref="AF332:AH332"/>
    <mergeCell ref="AI277:AK277"/>
    <mergeCell ref="AD271:AH271"/>
    <mergeCell ref="AC209:AD209"/>
  </mergeCells>
  <phoneticPr fontId="1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E126-9848-2048-9E71-6123371D8F4A}">
  <dimension ref="B7:J32"/>
  <sheetViews>
    <sheetView workbookViewId="0">
      <selection activeCell="C34" sqref="C34"/>
    </sheetView>
  </sheetViews>
  <sheetFormatPr baseColWidth="10" defaultRowHeight="15" x14ac:dyDescent="0.2"/>
  <cols>
    <col min="2" max="2" width="22.5" bestFit="1" customWidth="1"/>
    <col min="3" max="3" width="20.83203125" bestFit="1" customWidth="1"/>
    <col min="5" max="5" width="14.6640625" bestFit="1" customWidth="1"/>
    <col min="9" max="10" width="13.5" bestFit="1" customWidth="1"/>
  </cols>
  <sheetData>
    <row r="7" spans="3:9" x14ac:dyDescent="0.2">
      <c r="C7" t="s">
        <v>348</v>
      </c>
      <c r="D7">
        <v>635</v>
      </c>
      <c r="E7" t="s">
        <v>352</v>
      </c>
      <c r="G7" t="s">
        <v>357</v>
      </c>
      <c r="I7" t="s">
        <v>358</v>
      </c>
    </row>
    <row r="8" spans="3:9" x14ac:dyDescent="0.2">
      <c r="C8" t="s">
        <v>346</v>
      </c>
      <c r="D8">
        <v>35</v>
      </c>
      <c r="E8" t="s">
        <v>353</v>
      </c>
    </row>
    <row r="9" spans="3:9" x14ac:dyDescent="0.2">
      <c r="C9" t="s">
        <v>344</v>
      </c>
      <c r="D9" s="112">
        <f>D7-D8</f>
        <v>600</v>
      </c>
    </row>
    <row r="10" spans="3:9" x14ac:dyDescent="0.2">
      <c r="C10" t="s">
        <v>347</v>
      </c>
      <c r="D10">
        <f>D9*0.03</f>
        <v>18</v>
      </c>
    </row>
    <row r="11" spans="3:9" x14ac:dyDescent="0.2">
      <c r="D11">
        <f>D9-D10</f>
        <v>582</v>
      </c>
    </row>
    <row r="13" spans="3:9" x14ac:dyDescent="0.2">
      <c r="E13" t="s">
        <v>359</v>
      </c>
    </row>
    <row r="14" spans="3:9" x14ac:dyDescent="0.2">
      <c r="E14" t="s">
        <v>360</v>
      </c>
    </row>
    <row r="15" spans="3:9" x14ac:dyDescent="0.2">
      <c r="D15" t="s">
        <v>141</v>
      </c>
      <c r="E15" s="84">
        <v>7.0000000000000007E-2</v>
      </c>
    </row>
    <row r="18" spans="2:10" ht="16" customHeight="1" x14ac:dyDescent="0.2">
      <c r="C18" s="88" t="s">
        <v>354</v>
      </c>
      <c r="D18" s="88"/>
      <c r="E18" s="88"/>
      <c r="F18" s="88"/>
      <c r="G18" s="88"/>
      <c r="H18" s="88"/>
      <c r="I18" s="88"/>
      <c r="J18" s="88"/>
    </row>
    <row r="19" spans="2:10" x14ac:dyDescent="0.2">
      <c r="C19" s="82" t="s">
        <v>349</v>
      </c>
      <c r="D19" s="115">
        <v>0.03</v>
      </c>
      <c r="E19" s="115">
        <v>0.05</v>
      </c>
      <c r="F19" s="116">
        <v>5.5E-2</v>
      </c>
      <c r="G19" s="115">
        <v>0.06</v>
      </c>
      <c r="H19" s="116">
        <v>6.5000000000000002E-2</v>
      </c>
      <c r="I19" s="115">
        <v>7.0000000000000007E-2</v>
      </c>
      <c r="J19" s="115">
        <v>0.08</v>
      </c>
    </row>
    <row r="20" spans="2:10" x14ac:dyDescent="0.2">
      <c r="C20" s="82" t="s">
        <v>350</v>
      </c>
      <c r="D20" s="80">
        <v>550</v>
      </c>
      <c r="E20" s="80">
        <v>550</v>
      </c>
      <c r="F20" s="80">
        <v>550</v>
      </c>
      <c r="G20" s="80">
        <v>550</v>
      </c>
      <c r="H20" s="80">
        <v>550</v>
      </c>
      <c r="I20" s="80">
        <v>550</v>
      </c>
      <c r="J20" s="80">
        <v>550</v>
      </c>
    </row>
    <row r="21" spans="2:10" x14ac:dyDescent="0.2">
      <c r="C21" s="82" t="s">
        <v>361</v>
      </c>
      <c r="D21" s="80">
        <f>D20*0.03</f>
        <v>16.5</v>
      </c>
      <c r="E21" s="80">
        <f>E20*0.05</f>
        <v>27.5</v>
      </c>
      <c r="F21" s="80">
        <f>F20*0.055</f>
        <v>30.25</v>
      </c>
      <c r="G21" s="80">
        <f>G20*0.06</f>
        <v>33</v>
      </c>
      <c r="H21" s="80">
        <f>H20*0.065</f>
        <v>35.75</v>
      </c>
      <c r="I21" s="80">
        <f>I20*0.07</f>
        <v>38.500000000000007</v>
      </c>
      <c r="J21" s="80">
        <f>J20*0.08</f>
        <v>44</v>
      </c>
    </row>
    <row r="22" spans="2:10" x14ac:dyDescent="0.2">
      <c r="C22" s="82" t="s">
        <v>351</v>
      </c>
      <c r="D22" s="80">
        <f>D20-D21</f>
        <v>533.5</v>
      </c>
      <c r="E22" s="80">
        <f t="shared" ref="E22:J22" si="0">E20-E21</f>
        <v>522.5</v>
      </c>
      <c r="F22" s="80">
        <f t="shared" si="0"/>
        <v>519.75</v>
      </c>
      <c r="G22" s="80">
        <f t="shared" si="0"/>
        <v>517</v>
      </c>
      <c r="H22" s="80">
        <f t="shared" si="0"/>
        <v>514.25</v>
      </c>
      <c r="I22" s="80">
        <f t="shared" si="0"/>
        <v>511.5</v>
      </c>
      <c r="J22" s="80">
        <f t="shared" si="0"/>
        <v>506</v>
      </c>
    </row>
    <row r="23" spans="2:10" x14ac:dyDescent="0.2">
      <c r="C23" s="71"/>
      <c r="D23" s="71"/>
      <c r="E23" s="71"/>
      <c r="F23" s="71"/>
      <c r="G23" s="71"/>
      <c r="H23" s="71"/>
      <c r="I23" s="71"/>
      <c r="J23" s="71"/>
    </row>
    <row r="24" spans="2:10" x14ac:dyDescent="0.2">
      <c r="C24" s="88" t="s">
        <v>355</v>
      </c>
      <c r="D24" s="88"/>
      <c r="E24" s="88"/>
      <c r="F24" s="88"/>
      <c r="G24" s="88"/>
      <c r="H24" s="88"/>
      <c r="I24" s="88"/>
      <c r="J24" s="88"/>
    </row>
    <row r="25" spans="2:10" x14ac:dyDescent="0.2">
      <c r="C25" s="82" t="s">
        <v>349</v>
      </c>
      <c r="D25" s="115">
        <v>0.03</v>
      </c>
      <c r="E25" s="115">
        <v>0.05</v>
      </c>
      <c r="F25" s="116">
        <v>5.5E-2</v>
      </c>
      <c r="G25" s="115">
        <v>0.06</v>
      </c>
      <c r="H25" s="116">
        <v>6.5000000000000002E-2</v>
      </c>
      <c r="I25" s="115">
        <v>7.0000000000000007E-2</v>
      </c>
      <c r="J25" s="115">
        <v>0.08</v>
      </c>
    </row>
    <row r="26" spans="2:10" x14ac:dyDescent="0.2">
      <c r="C26" s="82" t="s">
        <v>350</v>
      </c>
      <c r="D26" s="80">
        <v>530</v>
      </c>
      <c r="E26" s="80">
        <v>530</v>
      </c>
      <c r="F26" s="80">
        <v>530</v>
      </c>
      <c r="G26" s="80">
        <v>530</v>
      </c>
      <c r="H26" s="80">
        <v>530</v>
      </c>
      <c r="I26" s="80">
        <v>530</v>
      </c>
      <c r="J26" s="80">
        <v>530</v>
      </c>
    </row>
    <row r="27" spans="2:10" x14ac:dyDescent="0.2">
      <c r="C27" s="82" t="s">
        <v>361</v>
      </c>
      <c r="D27" s="80">
        <f>D26*0.03</f>
        <v>15.899999999999999</v>
      </c>
      <c r="E27" s="80">
        <f>E26*0.05</f>
        <v>26.5</v>
      </c>
      <c r="F27" s="80">
        <f>F26*0.055</f>
        <v>29.15</v>
      </c>
      <c r="G27" s="80">
        <f>G26*0.06</f>
        <v>31.799999999999997</v>
      </c>
      <c r="H27" s="80">
        <f>H26*0.065</f>
        <v>34.450000000000003</v>
      </c>
      <c r="I27" s="80">
        <f>I26*0.07</f>
        <v>37.1</v>
      </c>
      <c r="J27" s="80">
        <f>J26*0.08</f>
        <v>42.4</v>
      </c>
    </row>
    <row r="28" spans="2:10" x14ac:dyDescent="0.2">
      <c r="C28" s="82" t="s">
        <v>351</v>
      </c>
      <c r="D28" s="80">
        <f>D26-D27</f>
        <v>514.1</v>
      </c>
      <c r="E28" s="80">
        <f t="shared" ref="E28:H28" si="1">E26-E27</f>
        <v>503.5</v>
      </c>
      <c r="F28" s="80">
        <f t="shared" si="1"/>
        <v>500.85</v>
      </c>
      <c r="G28" s="80">
        <f t="shared" si="1"/>
        <v>498.2</v>
      </c>
      <c r="H28" s="80">
        <f t="shared" si="1"/>
        <v>495.55</v>
      </c>
      <c r="I28" s="80">
        <f t="shared" ref="I28" si="2">I26-I27</f>
        <v>492.9</v>
      </c>
      <c r="J28" s="80">
        <f t="shared" ref="J28" si="3">J26-J27</f>
        <v>487.6</v>
      </c>
    </row>
    <row r="31" spans="2:10" x14ac:dyDescent="0.2">
      <c r="B31" t="s">
        <v>356</v>
      </c>
    </row>
    <row r="32" spans="2:10" x14ac:dyDescent="0.2">
      <c r="C32" s="113"/>
    </row>
  </sheetData>
  <mergeCells count="2">
    <mergeCell ref="C18:J18"/>
    <mergeCell ref="C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4E49-D048-5246-ACEE-AA5F48354194}">
  <dimension ref="B4:M20"/>
  <sheetViews>
    <sheetView workbookViewId="0">
      <selection activeCell="G12" sqref="G12"/>
    </sheetView>
  </sheetViews>
  <sheetFormatPr baseColWidth="10" defaultRowHeight="15" x14ac:dyDescent="0.2"/>
  <cols>
    <col min="4" max="4" width="17.1640625" bestFit="1" customWidth="1"/>
    <col min="5" max="5" width="12.6640625" bestFit="1" customWidth="1"/>
    <col min="6" max="6" width="12.83203125" bestFit="1" customWidth="1"/>
  </cols>
  <sheetData>
    <row r="4" spans="2:13" x14ac:dyDescent="0.2">
      <c r="B4" s="82" t="s">
        <v>316</v>
      </c>
      <c r="C4" s="82" t="s">
        <v>317</v>
      </c>
      <c r="D4" s="82" t="s">
        <v>312</v>
      </c>
      <c r="E4" s="82" t="s">
        <v>314</v>
      </c>
      <c r="F4" s="82" t="s">
        <v>315</v>
      </c>
      <c r="G4" s="82" t="s">
        <v>313</v>
      </c>
      <c r="I4" s="107" t="s">
        <v>330</v>
      </c>
    </row>
    <row r="5" spans="2:13" x14ac:dyDescent="0.2">
      <c r="B5" s="52" t="s">
        <v>318</v>
      </c>
      <c r="C5" s="52" t="s">
        <v>319</v>
      </c>
      <c r="D5" s="52">
        <v>19</v>
      </c>
      <c r="E5" s="80">
        <v>80</v>
      </c>
      <c r="F5" s="80">
        <f>700/D5</f>
        <v>36.842105263157897</v>
      </c>
      <c r="G5" s="80">
        <f>SUM(E5:F5)</f>
        <v>116.84210526315789</v>
      </c>
    </row>
    <row r="6" spans="2:13" x14ac:dyDescent="0.2">
      <c r="B6" s="52" t="s">
        <v>320</v>
      </c>
      <c r="C6" s="52" t="s">
        <v>319</v>
      </c>
      <c r="D6" s="52">
        <v>19</v>
      </c>
      <c r="E6" s="80">
        <v>80</v>
      </c>
      <c r="F6" s="80">
        <f>650/D6</f>
        <v>34.210526315789473</v>
      </c>
      <c r="G6" s="80">
        <f t="shared" ref="G6:G8" si="0">SUM(E6:F6)</f>
        <v>114.21052631578948</v>
      </c>
    </row>
    <row r="7" spans="2:13" x14ac:dyDescent="0.2">
      <c r="B7" s="52" t="s">
        <v>323</v>
      </c>
      <c r="C7" s="52" t="s">
        <v>319</v>
      </c>
      <c r="D7" s="52">
        <v>19</v>
      </c>
      <c r="E7" s="80">
        <v>80</v>
      </c>
      <c r="F7" s="80">
        <f>700/D7</f>
        <v>36.842105263157897</v>
      </c>
      <c r="G7" s="80">
        <f t="shared" si="0"/>
        <v>116.84210526315789</v>
      </c>
    </row>
    <row r="8" spans="2:13" x14ac:dyDescent="0.2">
      <c r="B8" s="52" t="s">
        <v>321</v>
      </c>
      <c r="C8" s="52" t="s">
        <v>322</v>
      </c>
      <c r="D8" s="52">
        <v>19</v>
      </c>
      <c r="E8" s="80">
        <v>80</v>
      </c>
      <c r="F8" s="80">
        <f>1000/D8</f>
        <v>52.631578947368418</v>
      </c>
      <c r="G8" s="80">
        <f t="shared" si="0"/>
        <v>132.63157894736841</v>
      </c>
    </row>
    <row r="10" spans="2:13" x14ac:dyDescent="0.2">
      <c r="B10" s="82" t="s">
        <v>316</v>
      </c>
      <c r="C10" s="82" t="s">
        <v>317</v>
      </c>
      <c r="D10" s="82" t="s">
        <v>329</v>
      </c>
      <c r="E10" s="82" t="s">
        <v>314</v>
      </c>
      <c r="F10" s="82" t="s">
        <v>315</v>
      </c>
      <c r="G10" s="82" t="s">
        <v>313</v>
      </c>
      <c r="H10" s="109" t="s">
        <v>311</v>
      </c>
      <c r="I10" s="43"/>
      <c r="K10" s="108" t="s">
        <v>331</v>
      </c>
      <c r="L10" s="108" t="s">
        <v>244</v>
      </c>
      <c r="M10" s="108" t="s">
        <v>332</v>
      </c>
    </row>
    <row r="11" spans="2:13" x14ac:dyDescent="0.2">
      <c r="B11" s="52" t="s">
        <v>318</v>
      </c>
      <c r="C11" s="52" t="s">
        <v>324</v>
      </c>
      <c r="D11" s="52">
        <v>19</v>
      </c>
      <c r="E11" s="80">
        <v>80</v>
      </c>
      <c r="F11" s="52">
        <f>(1250/D11)+10</f>
        <v>75.78947368421052</v>
      </c>
      <c r="G11" s="86">
        <f>SUM(E11:F11)</f>
        <v>155.78947368421052</v>
      </c>
      <c r="H11" s="86">
        <v>175</v>
      </c>
      <c r="I11" s="43"/>
      <c r="J11">
        <f>70+(1000/19)</f>
        <v>122.63157894736841</v>
      </c>
      <c r="K11" s="43">
        <f>G11-J11</f>
        <v>33.15789473684211</v>
      </c>
      <c r="L11">
        <v>100</v>
      </c>
      <c r="M11" s="43">
        <f>L11*K11</f>
        <v>3315.7894736842109</v>
      </c>
    </row>
    <row r="12" spans="2:13" x14ac:dyDescent="0.2">
      <c r="B12" s="52" t="s">
        <v>320</v>
      </c>
      <c r="C12" s="52" t="s">
        <v>324</v>
      </c>
      <c r="D12" s="52">
        <v>19</v>
      </c>
      <c r="E12" s="80">
        <v>80</v>
      </c>
      <c r="F12" s="52">
        <f>1250/D12+10</f>
        <v>75.78947368421052</v>
      </c>
      <c r="G12" s="86">
        <f>SUM(E12:F12)</f>
        <v>155.78947368421052</v>
      </c>
      <c r="H12" s="86">
        <f t="shared" ref="H12:H20" si="1">G12+50</f>
        <v>205.78947368421052</v>
      </c>
      <c r="J12">
        <f>70+(1000/19)</f>
        <v>122.63157894736841</v>
      </c>
      <c r="K12" s="43">
        <f>G12-J12</f>
        <v>33.15789473684211</v>
      </c>
      <c r="L12">
        <v>100</v>
      </c>
      <c r="M12" s="43">
        <f t="shared" ref="M12:M20" si="2">L12*K12</f>
        <v>3315.7894736842109</v>
      </c>
    </row>
    <row r="13" spans="2:13" x14ac:dyDescent="0.2">
      <c r="B13" s="52" t="s">
        <v>323</v>
      </c>
      <c r="C13" s="52" t="s">
        <v>324</v>
      </c>
      <c r="D13" s="52">
        <v>19</v>
      </c>
      <c r="E13" s="80">
        <v>80</v>
      </c>
      <c r="F13" s="52">
        <f>1250/D13+10</f>
        <v>75.78947368421052</v>
      </c>
      <c r="G13" s="86">
        <f>SUM(E13:F13)</f>
        <v>155.78947368421052</v>
      </c>
      <c r="H13" s="86">
        <f t="shared" si="1"/>
        <v>205.78947368421052</v>
      </c>
      <c r="J13">
        <f>70+(1000/19)</f>
        <v>122.63157894736841</v>
      </c>
      <c r="K13" s="43">
        <f>G13-J13</f>
        <v>33.15789473684211</v>
      </c>
      <c r="L13">
        <v>100</v>
      </c>
      <c r="M13" s="43">
        <f t="shared" si="2"/>
        <v>3315.7894736842109</v>
      </c>
    </row>
    <row r="14" spans="2:13" x14ac:dyDescent="0.2">
      <c r="B14" s="52" t="s">
        <v>321</v>
      </c>
      <c r="C14" s="52" t="s">
        <v>324</v>
      </c>
      <c r="D14" s="52">
        <v>19</v>
      </c>
      <c r="E14" s="80">
        <v>80</v>
      </c>
      <c r="F14" s="52">
        <f>2900/D14+10</f>
        <v>162.63157894736841</v>
      </c>
      <c r="G14" s="86">
        <f>SUM(E14:F14)</f>
        <v>242.63157894736841</v>
      </c>
      <c r="H14" s="86">
        <f t="shared" si="1"/>
        <v>292.63157894736844</v>
      </c>
      <c r="J14">
        <f>70+(2500/19)</f>
        <v>201.57894736842104</v>
      </c>
      <c r="K14" s="43">
        <f>G14-J14</f>
        <v>41.05263157894737</v>
      </c>
      <c r="L14">
        <v>100</v>
      </c>
      <c r="M14" s="43">
        <f t="shared" si="2"/>
        <v>4105.2631578947367</v>
      </c>
    </row>
    <row r="15" spans="2:13" x14ac:dyDescent="0.2">
      <c r="H15" s="86"/>
      <c r="K15" s="43"/>
      <c r="M15" s="43"/>
    </row>
    <row r="16" spans="2:13" x14ac:dyDescent="0.2">
      <c r="B16" s="82" t="s">
        <v>316</v>
      </c>
      <c r="C16" s="82" t="s">
        <v>317</v>
      </c>
      <c r="D16" s="82" t="s">
        <v>329</v>
      </c>
      <c r="E16" s="82" t="s">
        <v>314</v>
      </c>
      <c r="F16" s="82" t="s">
        <v>315</v>
      </c>
      <c r="G16" s="82" t="s">
        <v>313</v>
      </c>
      <c r="H16" s="109" t="s">
        <v>311</v>
      </c>
      <c r="K16" s="43"/>
      <c r="M16" s="43"/>
    </row>
    <row r="17" spans="2:13" x14ac:dyDescent="0.2">
      <c r="B17" s="52" t="s">
        <v>318</v>
      </c>
      <c r="C17" s="52" t="s">
        <v>325</v>
      </c>
      <c r="D17" s="52">
        <v>19</v>
      </c>
      <c r="E17" s="80">
        <v>80</v>
      </c>
      <c r="F17" s="52">
        <f>3200/D17+10</f>
        <v>178.42105263157896</v>
      </c>
      <c r="G17" s="86">
        <f>SUM(E17:F17)</f>
        <v>258.42105263157896</v>
      </c>
      <c r="H17" s="86">
        <f t="shared" si="1"/>
        <v>308.42105263157896</v>
      </c>
      <c r="J17">
        <f>70+(2900/19)</f>
        <v>222.63157894736841</v>
      </c>
      <c r="K17" s="43">
        <f>G17-J17</f>
        <v>35.789473684210549</v>
      </c>
      <c r="L17">
        <v>100</v>
      </c>
      <c r="M17" s="43">
        <f t="shared" si="2"/>
        <v>3578.9473684210548</v>
      </c>
    </row>
    <row r="18" spans="2:13" x14ac:dyDescent="0.2">
      <c r="B18" s="52" t="s">
        <v>320</v>
      </c>
      <c r="C18" s="52" t="s">
        <v>325</v>
      </c>
      <c r="D18" s="52">
        <v>19</v>
      </c>
      <c r="E18" s="80">
        <v>80</v>
      </c>
      <c r="F18" s="52">
        <f>3200/D18+10</f>
        <v>178.42105263157896</v>
      </c>
      <c r="G18" s="86">
        <f>SUM(E18:F18)</f>
        <v>258.42105263157896</v>
      </c>
      <c r="H18" s="86">
        <f t="shared" si="1"/>
        <v>308.42105263157896</v>
      </c>
      <c r="J18">
        <f>70+(2900/19)</f>
        <v>222.63157894736841</v>
      </c>
      <c r="K18" s="43">
        <f>G18-J18</f>
        <v>35.789473684210549</v>
      </c>
      <c r="L18">
        <v>100</v>
      </c>
      <c r="M18" s="43">
        <f t="shared" si="2"/>
        <v>3578.9473684210548</v>
      </c>
    </row>
    <row r="19" spans="2:13" x14ac:dyDescent="0.2">
      <c r="B19" s="52" t="s">
        <v>323</v>
      </c>
      <c r="C19" s="52" t="s">
        <v>325</v>
      </c>
      <c r="D19" s="52">
        <v>19</v>
      </c>
      <c r="E19" s="80">
        <v>80</v>
      </c>
      <c r="F19" s="52">
        <f>3200/D19+10</f>
        <v>178.42105263157896</v>
      </c>
      <c r="G19" s="86">
        <f>SUM(E19:F19)</f>
        <v>258.42105263157896</v>
      </c>
      <c r="H19" s="86">
        <f t="shared" si="1"/>
        <v>308.42105263157896</v>
      </c>
      <c r="J19">
        <f>70+(2900/19)</f>
        <v>222.63157894736841</v>
      </c>
      <c r="K19" s="43">
        <f>G19-J19</f>
        <v>35.789473684210549</v>
      </c>
      <c r="L19">
        <v>100</v>
      </c>
      <c r="M19" s="43">
        <f t="shared" si="2"/>
        <v>3578.9473684210548</v>
      </c>
    </row>
    <row r="20" spans="2:13" x14ac:dyDescent="0.2">
      <c r="B20" s="52" t="s">
        <v>321</v>
      </c>
      <c r="C20" s="52" t="s">
        <v>325</v>
      </c>
      <c r="D20" s="52">
        <v>19</v>
      </c>
      <c r="E20" s="80">
        <v>80</v>
      </c>
      <c r="F20" s="52">
        <f>4000/D20+10</f>
        <v>220.52631578947367</v>
      </c>
      <c r="G20" s="86">
        <f>SUM(E20:F20)</f>
        <v>300.52631578947364</v>
      </c>
      <c r="H20" s="86">
        <f t="shared" si="1"/>
        <v>350.52631578947364</v>
      </c>
      <c r="J20">
        <f>70+(3900/19)</f>
        <v>275.26315789473688</v>
      </c>
      <c r="K20" s="43">
        <f>G20-J20</f>
        <v>25.263157894736764</v>
      </c>
      <c r="L20">
        <v>100</v>
      </c>
      <c r="M20" s="43">
        <f t="shared" si="2"/>
        <v>2526.3157894736764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11FA-1315-C24E-A6BC-093C5C5F5064}">
  <dimension ref="B7:F48"/>
  <sheetViews>
    <sheetView workbookViewId="0">
      <selection activeCell="G9" sqref="G9:G30"/>
    </sheetView>
  </sheetViews>
  <sheetFormatPr baseColWidth="10" defaultRowHeight="15" x14ac:dyDescent="0.2"/>
  <cols>
    <col min="5" max="5" width="12.1640625" bestFit="1" customWidth="1"/>
  </cols>
  <sheetData>
    <row r="7" spans="2:6" x14ac:dyDescent="0.2">
      <c r="C7" t="s">
        <v>223</v>
      </c>
    </row>
    <row r="8" spans="2:6" x14ac:dyDescent="0.2">
      <c r="C8" t="s">
        <v>167</v>
      </c>
      <c r="E8" t="s">
        <v>167</v>
      </c>
    </row>
    <row r="9" spans="2:6" x14ac:dyDescent="0.2">
      <c r="C9">
        <v>710</v>
      </c>
      <c r="E9">
        <v>72</v>
      </c>
      <c r="F9">
        <v>73</v>
      </c>
    </row>
    <row r="10" spans="2:6" x14ac:dyDescent="0.2">
      <c r="B10" t="s">
        <v>244</v>
      </c>
      <c r="C10">
        <v>1496.23</v>
      </c>
      <c r="E10">
        <v>1497.0039999999999</v>
      </c>
      <c r="F10">
        <v>1002.071</v>
      </c>
    </row>
    <row r="11" spans="2:6" x14ac:dyDescent="0.2">
      <c r="B11" t="s">
        <v>75</v>
      </c>
      <c r="C11">
        <v>1062323.3</v>
      </c>
      <c r="E11">
        <v>107784.288</v>
      </c>
      <c r="F11">
        <v>73151.183000000005</v>
      </c>
    </row>
    <row r="12" spans="2:6" x14ac:dyDescent="0.2">
      <c r="B12" t="s">
        <v>283</v>
      </c>
      <c r="C12">
        <v>0.36</v>
      </c>
      <c r="E12">
        <v>0.36</v>
      </c>
      <c r="F12">
        <v>0.36</v>
      </c>
    </row>
    <row r="13" spans="2:6" x14ac:dyDescent="0.2">
      <c r="B13" t="s">
        <v>166</v>
      </c>
      <c r="C13">
        <v>382436.38799999998</v>
      </c>
      <c r="E13">
        <v>38802.343679999998</v>
      </c>
      <c r="F13">
        <v>26334.425879999999</v>
      </c>
    </row>
    <row r="15" spans="2:6" x14ac:dyDescent="0.2">
      <c r="B15" t="s">
        <v>274</v>
      </c>
    </row>
    <row r="17" spans="2:6" x14ac:dyDescent="0.2">
      <c r="C17" t="s">
        <v>17</v>
      </c>
      <c r="E17">
        <v>421238.73167999997</v>
      </c>
      <c r="F17" t="s">
        <v>308</v>
      </c>
    </row>
    <row r="18" spans="2:6" x14ac:dyDescent="0.2">
      <c r="F18" t="s">
        <v>68</v>
      </c>
    </row>
    <row r="19" spans="2:6" x14ac:dyDescent="0.2">
      <c r="C19" t="s">
        <v>275</v>
      </c>
      <c r="E19">
        <v>15300</v>
      </c>
    </row>
    <row r="20" spans="2:6" x14ac:dyDescent="0.2">
      <c r="C20" t="s">
        <v>276</v>
      </c>
      <c r="E20">
        <v>1200</v>
      </c>
      <c r="F20" t="s">
        <v>309</v>
      </c>
    </row>
    <row r="21" spans="2:6" x14ac:dyDescent="0.2">
      <c r="C21" t="s">
        <v>277</v>
      </c>
      <c r="E21">
        <v>12900</v>
      </c>
      <c r="F21" t="s">
        <v>342</v>
      </c>
    </row>
    <row r="22" spans="2:6" x14ac:dyDescent="0.2">
      <c r="C22" t="s">
        <v>279</v>
      </c>
      <c r="E22">
        <v>7000</v>
      </c>
      <c r="F22" t="s">
        <v>341</v>
      </c>
    </row>
    <row r="23" spans="2:6" x14ac:dyDescent="0.2">
      <c r="C23" t="s">
        <v>280</v>
      </c>
      <c r="E23">
        <v>5000</v>
      </c>
    </row>
    <row r="24" spans="2:6" x14ac:dyDescent="0.2">
      <c r="C24" t="s">
        <v>281</v>
      </c>
      <c r="E24">
        <v>10400</v>
      </c>
    </row>
    <row r="25" spans="2:6" x14ac:dyDescent="0.2">
      <c r="C25" t="s">
        <v>282</v>
      </c>
      <c r="E25">
        <v>5441</v>
      </c>
    </row>
    <row r="26" spans="2:6" x14ac:dyDescent="0.2">
      <c r="C26" t="s">
        <v>307</v>
      </c>
      <c r="E26">
        <v>397197.73167999997</v>
      </c>
    </row>
    <row r="27" spans="2:6" x14ac:dyDescent="0.2">
      <c r="C27" t="s">
        <v>278</v>
      </c>
      <c r="E27">
        <v>65000</v>
      </c>
    </row>
    <row r="28" spans="2:6" x14ac:dyDescent="0.2">
      <c r="C28" t="s">
        <v>68</v>
      </c>
      <c r="E28">
        <v>-332197.73167999997</v>
      </c>
    </row>
    <row r="31" spans="2:6" x14ac:dyDescent="0.2">
      <c r="B31" s="120" t="s">
        <v>379</v>
      </c>
    </row>
    <row r="32" spans="2:6" x14ac:dyDescent="0.2">
      <c r="B32" t="s">
        <v>209</v>
      </c>
      <c r="C32">
        <v>1107210.2</v>
      </c>
      <c r="E32">
        <v>1107782.96</v>
      </c>
    </row>
    <row r="33" spans="2:5" x14ac:dyDescent="0.2">
      <c r="B33" t="s">
        <v>211</v>
      </c>
      <c r="C33">
        <v>107728.56</v>
      </c>
      <c r="E33">
        <v>107784.288</v>
      </c>
    </row>
    <row r="34" spans="2:5" x14ac:dyDescent="0.2">
      <c r="B34" t="s">
        <v>210</v>
      </c>
      <c r="C34">
        <v>26932.14</v>
      </c>
      <c r="E34">
        <v>26946.072</v>
      </c>
    </row>
    <row r="35" spans="2:5" x14ac:dyDescent="0.2">
      <c r="B35" t="s">
        <v>212</v>
      </c>
      <c r="C35">
        <v>18.899999999999999</v>
      </c>
      <c r="E35">
        <v>18.309999999999999</v>
      </c>
    </row>
    <row r="36" spans="2:5" x14ac:dyDescent="0.2">
      <c r="B36" t="s">
        <v>80</v>
      </c>
      <c r="C36">
        <v>509017.44599999994</v>
      </c>
      <c r="E36">
        <v>491765.81</v>
      </c>
    </row>
    <row r="37" spans="2:5" x14ac:dyDescent="0.2">
      <c r="B37" t="s">
        <v>213</v>
      </c>
      <c r="C37">
        <v>25450.872299999999</v>
      </c>
      <c r="E37">
        <v>24588.290500000003</v>
      </c>
    </row>
    <row r="38" spans="2:5" x14ac:dyDescent="0.2">
      <c r="B38" t="s">
        <v>244</v>
      </c>
      <c r="C38">
        <v>1496.23</v>
      </c>
      <c r="E38">
        <v>1497.0039999999999</v>
      </c>
    </row>
    <row r="39" spans="2:5" x14ac:dyDescent="0.2">
      <c r="B39" t="s">
        <v>17</v>
      </c>
      <c r="C39">
        <v>483566.57369999995</v>
      </c>
      <c r="E39">
        <v>467177.51949999999</v>
      </c>
    </row>
    <row r="40" spans="2:5" x14ac:dyDescent="0.2">
      <c r="C40" t="s">
        <v>136</v>
      </c>
      <c r="E40" t="s">
        <v>136</v>
      </c>
    </row>
    <row r="41" spans="2:5" x14ac:dyDescent="0.2">
      <c r="B41" t="s">
        <v>209</v>
      </c>
      <c r="C41">
        <v>711470.40999999992</v>
      </c>
      <c r="E41">
        <v>1235394.02</v>
      </c>
    </row>
    <row r="42" spans="2:5" x14ac:dyDescent="0.2">
      <c r="B42" t="s">
        <v>245</v>
      </c>
      <c r="C42">
        <v>73151.183000000005</v>
      </c>
      <c r="E42">
        <v>145457.68299999999</v>
      </c>
    </row>
    <row r="43" spans="2:5" x14ac:dyDescent="0.2">
      <c r="B43" t="s">
        <v>210</v>
      </c>
      <c r="C43">
        <v>18287.795750000001</v>
      </c>
      <c r="E43">
        <v>36364.420749999997</v>
      </c>
    </row>
    <row r="44" spans="2:5" x14ac:dyDescent="0.2">
      <c r="B44" t="s">
        <v>212</v>
      </c>
      <c r="C44">
        <v>18.2</v>
      </c>
      <c r="E44">
        <v>17.7</v>
      </c>
    </row>
    <row r="45" spans="2:5" x14ac:dyDescent="0.2">
      <c r="B45" t="s">
        <v>141</v>
      </c>
      <c r="C45">
        <v>332837.88264999999</v>
      </c>
      <c r="E45">
        <v>643650.24727499997</v>
      </c>
    </row>
    <row r="46" spans="2:5" x14ac:dyDescent="0.2">
      <c r="B46" t="s">
        <v>213</v>
      </c>
      <c r="C46">
        <v>16641.894132500001</v>
      </c>
      <c r="E46">
        <v>32182.51236375</v>
      </c>
    </row>
    <row r="47" spans="2:5" x14ac:dyDescent="0.2">
      <c r="B47" t="s">
        <v>244</v>
      </c>
      <c r="C47">
        <v>1002.071</v>
      </c>
      <c r="E47">
        <v>1992.5709999999999</v>
      </c>
    </row>
    <row r="48" spans="2:5" x14ac:dyDescent="0.2">
      <c r="B48" t="s">
        <v>17</v>
      </c>
      <c r="C48">
        <v>316195.98851749999</v>
      </c>
      <c r="E48">
        <v>611467.73491124995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analisis convertipap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Bazua</dc:creator>
  <cp:lastModifiedBy>Eduardo Bazua</cp:lastModifiedBy>
  <dcterms:created xsi:type="dcterms:W3CDTF">2024-05-08T16:47:48Z</dcterms:created>
  <dcterms:modified xsi:type="dcterms:W3CDTF">2026-04-16T21:49:39Z</dcterms:modified>
</cp:coreProperties>
</file>