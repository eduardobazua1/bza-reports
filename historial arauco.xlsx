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bazua/bza-reports/"/>
    </mc:Choice>
  </mc:AlternateContent>
  <xr:revisionPtr revIDLastSave="0" documentId="8_{39C325B7-6274-E149-B7A7-2F15B44C73B2}" xr6:coauthVersionLast="47" xr6:coauthVersionMax="47" xr10:uidLastSave="{00000000-0000-0000-0000-000000000000}"/>
  <bookViews>
    <workbookView xWindow="1500" yWindow="1320" windowWidth="27640" windowHeight="16940" xr2:uid="{224FBF18-6E26-0E49-AC93-D334A181F13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3" i="1"/>
  <c r="V5" i="1"/>
  <c r="V6" i="1"/>
  <c r="V7" i="1"/>
  <c r="V8" i="1"/>
  <c r="V9" i="1"/>
  <c r="V10" i="1"/>
  <c r="V11" i="1"/>
  <c r="V12" i="1"/>
  <c r="V13" i="1"/>
  <c r="V63" i="1" s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</calcChain>
</file>

<file path=xl/sharedStrings.xml><?xml version="1.0" encoding="utf-8"?>
<sst xmlns="http://schemas.openxmlformats.org/spreadsheetml/2006/main" count="611" uniqueCount="56">
  <si>
    <t>Entrega</t>
  </si>
  <si>
    <t>Pedido</t>
  </si>
  <si>
    <t>PO</t>
  </si>
  <si>
    <t>Status</t>
  </si>
  <si>
    <t>Puerto</t>
  </si>
  <si>
    <t>Solicitante</t>
  </si>
  <si>
    <t>Mes Allocation</t>
  </si>
  <si>
    <t>Año Allocation</t>
  </si>
  <si>
    <t>Producto</t>
  </si>
  <si>
    <t>Material</t>
  </si>
  <si>
    <t>Precio Neto</t>
  </si>
  <si>
    <t>FSC CW</t>
  </si>
  <si>
    <t>PEFC</t>
  </si>
  <si>
    <t>Volumen (ADT)</t>
  </si>
  <si>
    <t>Términos de pago</t>
  </si>
  <si>
    <t>Fecha de creación</t>
  </si>
  <si>
    <t>Fecha Factura</t>
  </si>
  <si>
    <t>Factura SAP</t>
  </si>
  <si>
    <t>Folio</t>
  </si>
  <si>
    <t>X0032</t>
  </si>
  <si>
    <t>Contabilizado</t>
  </si>
  <si>
    <t>MXVER - VERACRUZ</t>
  </si>
  <si>
    <t>BZA INTERNATIONAL SERVICES, LLC</t>
  </si>
  <si>
    <t>Agosto</t>
  </si>
  <si>
    <t>EKP</t>
  </si>
  <si>
    <t>EA3E</t>
  </si>
  <si>
    <t>Sí</t>
  </si>
  <si>
    <t>No</t>
  </si>
  <si>
    <t>ZC01 - Payment in Advance</t>
  </si>
  <si>
    <t>X0029</t>
  </si>
  <si>
    <t>Julio</t>
  </si>
  <si>
    <t>X0025</t>
  </si>
  <si>
    <t>Junio</t>
  </si>
  <si>
    <t>Mayo</t>
  </si>
  <si>
    <t>Abril</t>
  </si>
  <si>
    <t>X0023</t>
  </si>
  <si>
    <t>Marzo</t>
  </si>
  <si>
    <t>Febrero</t>
  </si>
  <si>
    <t>X0022</t>
  </si>
  <si>
    <t>Enero</t>
  </si>
  <si>
    <t>Diciembre</t>
  </si>
  <si>
    <t>X0017</t>
  </si>
  <si>
    <t>MXZLO - MANZANILLO, MX</t>
  </si>
  <si>
    <t>EN2E</t>
  </si>
  <si>
    <t>X0021</t>
  </si>
  <si>
    <t>X0020</t>
  </si>
  <si>
    <t>X0015</t>
  </si>
  <si>
    <t>X0014</t>
  </si>
  <si>
    <t>Noviembre</t>
  </si>
  <si>
    <t>ZCAD - Cash Against Documents</t>
  </si>
  <si>
    <t>X0013</t>
  </si>
  <si>
    <t>X0012</t>
  </si>
  <si>
    <t>Octubre</t>
  </si>
  <si>
    <t>X0011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</si>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</sst>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/>
      <name val="Aptos Narrow"/>
    </font>
    <font>
      <sz val="9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14" fontId="3" fillId="0" borderId="0" xfId="0" applyNumberFormat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A022-78FD-E748-BD83-0BA78C84CEE8}">
  <dimension ref="B2:V63"/>
  <sheetViews>
    <sheetView tabSelected="1" workbookViewId="0">
      <selection activeCell="O4" sqref="O4"/>
    </sheetView>
  </sheetViews>
  <sheetFormatPr baseColWidth="10" defaultRowHeight="16" x14ac:dyDescent="0.2"/>
  <cols>
    <col min="22" max="22" width="17.6640625" bestFit="1" customWidth="1"/>
  </cols>
  <sheetData>
    <row r="2" spans="2:22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V2" s="1" t="s">
        <v>54</v>
      </c>
    </row>
    <row r="3" spans="2:22" x14ac:dyDescent="0.2">
      <c r="B3" s="2">
        <v>818298347</v>
      </c>
      <c r="C3" s="2">
        <v>6584952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>
        <v>2025</v>
      </c>
      <c r="J3" s="2" t="s">
        <v>24</v>
      </c>
      <c r="K3" s="2" t="s">
        <v>25</v>
      </c>
      <c r="L3" s="2">
        <v>544</v>
      </c>
      <c r="M3" s="2" t="s">
        <v>26</v>
      </c>
      <c r="N3" s="2" t="s">
        <v>27</v>
      </c>
      <c r="O3" s="3">
        <v>996.03099999999995</v>
      </c>
      <c r="P3" s="2" t="s">
        <v>28</v>
      </c>
      <c r="Q3" s="4">
        <v>45910</v>
      </c>
      <c r="R3" s="4">
        <v>45937</v>
      </c>
      <c r="S3" s="2">
        <v>96809460</v>
      </c>
      <c r="T3" s="2">
        <v>142105</v>
      </c>
      <c r="V3" s="5">
        <f>L3*O3</f>
        <v>541840.86399999994</v>
      </c>
    </row>
    <row r="4" spans="2:22" x14ac:dyDescent="0.2">
      <c r="B4" s="2">
        <v>818298342</v>
      </c>
      <c r="C4" s="2">
        <v>6584951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>
        <v>2025</v>
      </c>
      <c r="J4" s="2" t="s">
        <v>24</v>
      </c>
      <c r="K4" s="2" t="s">
        <v>25</v>
      </c>
      <c r="L4" s="2">
        <v>544</v>
      </c>
      <c r="M4" s="2" t="s">
        <v>26</v>
      </c>
      <c r="N4" s="2" t="s">
        <v>27</v>
      </c>
      <c r="O4" s="2">
        <v>498.27</v>
      </c>
      <c r="P4" s="2" t="s">
        <v>28</v>
      </c>
      <c r="Q4" s="4">
        <v>45910</v>
      </c>
      <c r="R4" s="4">
        <v>45937</v>
      </c>
      <c r="S4" s="2">
        <v>96809459</v>
      </c>
      <c r="T4" s="2">
        <v>142104</v>
      </c>
      <c r="V4" s="5">
        <f>L4*O4</f>
        <v>271058.88</v>
      </c>
    </row>
    <row r="5" spans="2:22" x14ac:dyDescent="0.2">
      <c r="B5" s="2">
        <v>818298334</v>
      </c>
      <c r="C5" s="2">
        <v>6584950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>
        <v>2025</v>
      </c>
      <c r="J5" s="2" t="s">
        <v>24</v>
      </c>
      <c r="K5" s="2" t="s">
        <v>25</v>
      </c>
      <c r="L5" s="2">
        <v>544</v>
      </c>
      <c r="M5" s="2" t="s">
        <v>26</v>
      </c>
      <c r="N5" s="2" t="s">
        <v>27</v>
      </c>
      <c r="O5" s="2">
        <v>498.27</v>
      </c>
      <c r="P5" s="2" t="s">
        <v>28</v>
      </c>
      <c r="Q5" s="4">
        <v>45910</v>
      </c>
      <c r="R5" s="4">
        <v>45937</v>
      </c>
      <c r="S5" s="2">
        <v>96809458</v>
      </c>
      <c r="T5" s="2">
        <v>142103</v>
      </c>
      <c r="V5" s="5">
        <f t="shared" ref="V4:V61" si="0">L5*O5</f>
        <v>271058.88</v>
      </c>
    </row>
    <row r="6" spans="2:22" x14ac:dyDescent="0.2">
      <c r="B6" s="2">
        <v>818267600</v>
      </c>
      <c r="C6" s="2">
        <v>6575069</v>
      </c>
      <c r="D6" s="2" t="s">
        <v>29</v>
      </c>
      <c r="E6" s="2" t="s">
        <v>20</v>
      </c>
      <c r="F6" s="2" t="s">
        <v>21</v>
      </c>
      <c r="G6" s="2" t="s">
        <v>22</v>
      </c>
      <c r="H6" s="2" t="s">
        <v>30</v>
      </c>
      <c r="I6" s="2">
        <v>2025</v>
      </c>
      <c r="J6" s="2" t="s">
        <v>24</v>
      </c>
      <c r="K6" s="2" t="s">
        <v>25</v>
      </c>
      <c r="L6" s="2">
        <v>586.51</v>
      </c>
      <c r="M6" s="2" t="s">
        <v>26</v>
      </c>
      <c r="N6" s="2" t="s">
        <v>27</v>
      </c>
      <c r="O6" s="3">
        <v>500.05500000000001</v>
      </c>
      <c r="P6" s="2" t="s">
        <v>28</v>
      </c>
      <c r="Q6" s="4">
        <v>45902</v>
      </c>
      <c r="R6" s="4">
        <v>45897</v>
      </c>
      <c r="S6" s="2">
        <v>96775244</v>
      </c>
      <c r="T6" s="2">
        <v>141619</v>
      </c>
      <c r="V6" s="5">
        <f t="shared" si="0"/>
        <v>293287.25805</v>
      </c>
    </row>
    <row r="7" spans="2:22" x14ac:dyDescent="0.2">
      <c r="B7" s="2">
        <v>818184531</v>
      </c>
      <c r="C7" s="2">
        <v>6547172</v>
      </c>
      <c r="D7" s="2" t="s">
        <v>29</v>
      </c>
      <c r="E7" s="2" t="s">
        <v>20</v>
      </c>
      <c r="F7" s="2" t="s">
        <v>21</v>
      </c>
      <c r="G7" s="2" t="s">
        <v>22</v>
      </c>
      <c r="H7" s="2" t="s">
        <v>30</v>
      </c>
      <c r="I7" s="2">
        <v>2025</v>
      </c>
      <c r="J7" s="2" t="s">
        <v>24</v>
      </c>
      <c r="K7" s="2" t="s">
        <v>25</v>
      </c>
      <c r="L7" s="2">
        <v>586.51</v>
      </c>
      <c r="M7" s="2" t="s">
        <v>26</v>
      </c>
      <c r="N7" s="2" t="s">
        <v>27</v>
      </c>
      <c r="O7" s="3">
        <v>502.01600000000002</v>
      </c>
      <c r="P7" s="2" t="s">
        <v>28</v>
      </c>
      <c r="Q7" s="4">
        <v>45880</v>
      </c>
      <c r="R7" s="4">
        <v>45897</v>
      </c>
      <c r="S7" s="2">
        <v>96774950</v>
      </c>
      <c r="T7" s="2">
        <v>141557</v>
      </c>
      <c r="V7" s="5">
        <f t="shared" si="0"/>
        <v>294437.40416000003</v>
      </c>
    </row>
    <row r="8" spans="2:22" x14ac:dyDescent="0.2">
      <c r="B8" s="2">
        <v>817792334</v>
      </c>
      <c r="C8" s="2">
        <v>6421051</v>
      </c>
      <c r="D8" s="2" t="s">
        <v>31</v>
      </c>
      <c r="E8" s="2" t="s">
        <v>20</v>
      </c>
      <c r="F8" s="2" t="s">
        <v>21</v>
      </c>
      <c r="G8" s="2" t="s">
        <v>22</v>
      </c>
      <c r="H8" s="2" t="s">
        <v>32</v>
      </c>
      <c r="I8" s="2">
        <v>2025</v>
      </c>
      <c r="J8" s="2" t="s">
        <v>24</v>
      </c>
      <c r="K8" s="2" t="s">
        <v>25</v>
      </c>
      <c r="L8" s="2">
        <v>655.42</v>
      </c>
      <c r="M8" s="2" t="s">
        <v>26</v>
      </c>
      <c r="N8" s="2" t="s">
        <v>27</v>
      </c>
      <c r="O8" s="3">
        <v>499.61799999999999</v>
      </c>
      <c r="P8" s="2" t="s">
        <v>28</v>
      </c>
      <c r="Q8" s="4">
        <v>45771</v>
      </c>
      <c r="R8" s="4">
        <v>45822</v>
      </c>
      <c r="S8" s="2">
        <v>96708655</v>
      </c>
      <c r="T8" s="2">
        <v>140479</v>
      </c>
      <c r="V8" s="5">
        <f t="shared" si="0"/>
        <v>327459.62955999997</v>
      </c>
    </row>
    <row r="9" spans="2:22" x14ac:dyDescent="0.2">
      <c r="B9" s="2">
        <v>817792332</v>
      </c>
      <c r="C9" s="2">
        <v>6421049</v>
      </c>
      <c r="D9" s="2" t="s">
        <v>31</v>
      </c>
      <c r="E9" s="2" t="s">
        <v>20</v>
      </c>
      <c r="F9" s="2" t="s">
        <v>21</v>
      </c>
      <c r="G9" s="2" t="s">
        <v>22</v>
      </c>
      <c r="H9" s="2" t="s">
        <v>33</v>
      </c>
      <c r="I9" s="2">
        <v>2025</v>
      </c>
      <c r="J9" s="2" t="s">
        <v>24</v>
      </c>
      <c r="K9" s="2" t="s">
        <v>25</v>
      </c>
      <c r="L9" s="2">
        <v>649.76</v>
      </c>
      <c r="M9" s="2" t="s">
        <v>26</v>
      </c>
      <c r="N9" s="2" t="s">
        <v>27</v>
      </c>
      <c r="O9" s="3">
        <v>499.11599999999999</v>
      </c>
      <c r="P9" s="2" t="s">
        <v>28</v>
      </c>
      <c r="Q9" s="4">
        <v>45771</v>
      </c>
      <c r="R9" s="4">
        <v>45811</v>
      </c>
      <c r="S9" s="2">
        <v>96693652</v>
      </c>
      <c r="T9" s="2">
        <v>140347</v>
      </c>
      <c r="V9" s="5">
        <f t="shared" si="0"/>
        <v>324305.61215999996</v>
      </c>
    </row>
    <row r="10" spans="2:22" x14ac:dyDescent="0.2">
      <c r="B10" s="2">
        <v>817792328</v>
      </c>
      <c r="C10" s="2">
        <v>6421047</v>
      </c>
      <c r="D10" s="2" t="s">
        <v>31</v>
      </c>
      <c r="E10" s="2" t="s">
        <v>20</v>
      </c>
      <c r="F10" s="2" t="s">
        <v>21</v>
      </c>
      <c r="G10" s="2" t="s">
        <v>22</v>
      </c>
      <c r="H10" s="2" t="s">
        <v>33</v>
      </c>
      <c r="I10" s="2">
        <v>2025</v>
      </c>
      <c r="J10" s="2" t="s">
        <v>24</v>
      </c>
      <c r="K10" s="2" t="s">
        <v>25</v>
      </c>
      <c r="L10" s="2">
        <v>649.76</v>
      </c>
      <c r="M10" s="2" t="s">
        <v>26</v>
      </c>
      <c r="N10" s="2" t="s">
        <v>27</v>
      </c>
      <c r="O10" s="2">
        <v>498.27</v>
      </c>
      <c r="P10" s="2" t="s">
        <v>28</v>
      </c>
      <c r="Q10" s="4">
        <v>45771</v>
      </c>
      <c r="R10" s="4">
        <v>45814</v>
      </c>
      <c r="S10" s="2">
        <v>96697045</v>
      </c>
      <c r="T10" s="2">
        <v>140400</v>
      </c>
      <c r="V10" s="5">
        <f t="shared" si="0"/>
        <v>323755.91519999999</v>
      </c>
    </row>
    <row r="11" spans="2:22" x14ac:dyDescent="0.2">
      <c r="B11" s="2">
        <v>817792326</v>
      </c>
      <c r="C11" s="2">
        <v>6421044</v>
      </c>
      <c r="D11" s="2" t="s">
        <v>31</v>
      </c>
      <c r="E11" s="2" t="s">
        <v>20</v>
      </c>
      <c r="F11" s="2" t="s">
        <v>21</v>
      </c>
      <c r="G11" s="2" t="s">
        <v>22</v>
      </c>
      <c r="H11" s="2" t="s">
        <v>33</v>
      </c>
      <c r="I11" s="2">
        <v>2025</v>
      </c>
      <c r="J11" s="2" t="s">
        <v>24</v>
      </c>
      <c r="K11" s="2" t="s">
        <v>25</v>
      </c>
      <c r="L11" s="2">
        <v>649.76</v>
      </c>
      <c r="M11" s="2" t="s">
        <v>26</v>
      </c>
      <c r="N11" s="2" t="s">
        <v>27</v>
      </c>
      <c r="O11" s="3">
        <v>498.49200000000002</v>
      </c>
      <c r="P11" s="2" t="s">
        <v>28</v>
      </c>
      <c r="Q11" s="4">
        <v>45771</v>
      </c>
      <c r="R11" s="4">
        <v>45799</v>
      </c>
      <c r="S11" s="2">
        <v>96679369</v>
      </c>
      <c r="T11" s="2">
        <v>140095</v>
      </c>
      <c r="V11" s="5">
        <f t="shared" si="0"/>
        <v>323900.16191999998</v>
      </c>
    </row>
    <row r="12" spans="2:22" x14ac:dyDescent="0.2">
      <c r="B12" s="2">
        <v>817792323</v>
      </c>
      <c r="C12" s="2">
        <v>6421041</v>
      </c>
      <c r="D12" s="2" t="s">
        <v>31</v>
      </c>
      <c r="E12" s="2" t="s">
        <v>20</v>
      </c>
      <c r="F12" s="2" t="s">
        <v>21</v>
      </c>
      <c r="G12" s="2" t="s">
        <v>22</v>
      </c>
      <c r="H12" s="2" t="s">
        <v>34</v>
      </c>
      <c r="I12" s="2">
        <v>2025</v>
      </c>
      <c r="J12" s="2" t="s">
        <v>24</v>
      </c>
      <c r="K12" s="2" t="s">
        <v>25</v>
      </c>
      <c r="L12" s="2">
        <v>648.09</v>
      </c>
      <c r="M12" s="2" t="s">
        <v>26</v>
      </c>
      <c r="N12" s="2" t="s">
        <v>27</v>
      </c>
      <c r="O12" s="2">
        <v>499.48</v>
      </c>
      <c r="P12" s="2" t="s">
        <v>28</v>
      </c>
      <c r="Q12" s="4">
        <v>45771</v>
      </c>
      <c r="R12" s="4">
        <v>45796</v>
      </c>
      <c r="S12" s="2">
        <v>96678309</v>
      </c>
      <c r="T12" s="2">
        <v>140078</v>
      </c>
      <c r="V12" s="5">
        <f t="shared" si="0"/>
        <v>323707.99320000003</v>
      </c>
    </row>
    <row r="13" spans="2:22" x14ac:dyDescent="0.2">
      <c r="B13" s="2">
        <v>817792320</v>
      </c>
      <c r="C13" s="2">
        <v>6421039</v>
      </c>
      <c r="D13" s="2" t="s">
        <v>31</v>
      </c>
      <c r="E13" s="2" t="s">
        <v>20</v>
      </c>
      <c r="F13" s="2" t="s">
        <v>21</v>
      </c>
      <c r="G13" s="2" t="s">
        <v>22</v>
      </c>
      <c r="H13" s="2" t="s">
        <v>34</v>
      </c>
      <c r="I13" s="2">
        <v>2025</v>
      </c>
      <c r="J13" s="2" t="s">
        <v>24</v>
      </c>
      <c r="K13" s="2" t="s">
        <v>25</v>
      </c>
      <c r="L13" s="2">
        <v>648.09</v>
      </c>
      <c r="M13" s="2" t="s">
        <v>26</v>
      </c>
      <c r="N13" s="2" t="s">
        <v>27</v>
      </c>
      <c r="O13" s="3">
        <v>498.25799999999998</v>
      </c>
      <c r="P13" s="2" t="s">
        <v>28</v>
      </c>
      <c r="Q13" s="4">
        <v>45771</v>
      </c>
      <c r="R13" s="4">
        <v>45788</v>
      </c>
      <c r="S13" s="2">
        <v>96668725</v>
      </c>
      <c r="T13" s="2">
        <v>139979</v>
      </c>
      <c r="V13" s="5">
        <f t="shared" si="0"/>
        <v>322916.02721999999</v>
      </c>
    </row>
    <row r="14" spans="2:22" x14ac:dyDescent="0.2">
      <c r="B14" s="2">
        <v>817538184</v>
      </c>
      <c r="C14" s="2">
        <v>6335717</v>
      </c>
      <c r="D14" s="2" t="s">
        <v>35</v>
      </c>
      <c r="E14" s="2" t="s">
        <v>20</v>
      </c>
      <c r="F14" s="2" t="s">
        <v>21</v>
      </c>
      <c r="G14" s="2" t="s">
        <v>22</v>
      </c>
      <c r="H14" s="2" t="s">
        <v>34</v>
      </c>
      <c r="I14" s="2">
        <v>2025</v>
      </c>
      <c r="J14" s="2" t="s">
        <v>24</v>
      </c>
      <c r="K14" s="2" t="s">
        <v>25</v>
      </c>
      <c r="L14" s="2">
        <v>648.09</v>
      </c>
      <c r="M14" s="2" t="s">
        <v>26</v>
      </c>
      <c r="N14" s="2" t="s">
        <v>27</v>
      </c>
      <c r="O14" s="3">
        <v>298.358</v>
      </c>
      <c r="P14" s="2" t="s">
        <v>28</v>
      </c>
      <c r="Q14" s="4">
        <v>45705</v>
      </c>
      <c r="R14" s="4">
        <v>45788</v>
      </c>
      <c r="S14" s="2">
        <v>96668721</v>
      </c>
      <c r="T14" s="2">
        <v>139976</v>
      </c>
      <c r="V14" s="5">
        <f t="shared" si="0"/>
        <v>193362.83622000003</v>
      </c>
    </row>
    <row r="15" spans="2:22" x14ac:dyDescent="0.2">
      <c r="B15" s="2">
        <v>817538182</v>
      </c>
      <c r="C15" s="2">
        <v>6335714</v>
      </c>
      <c r="D15" s="2" t="s">
        <v>35</v>
      </c>
      <c r="E15" s="2" t="s">
        <v>20</v>
      </c>
      <c r="F15" s="2" t="s">
        <v>21</v>
      </c>
      <c r="G15" s="2" t="s">
        <v>22</v>
      </c>
      <c r="H15" s="2" t="s">
        <v>34</v>
      </c>
      <c r="I15" s="2">
        <v>2025</v>
      </c>
      <c r="J15" s="2" t="s">
        <v>24</v>
      </c>
      <c r="K15" s="2" t="s">
        <v>25</v>
      </c>
      <c r="L15" s="2">
        <v>648.09</v>
      </c>
      <c r="M15" s="2" t="s">
        <v>26</v>
      </c>
      <c r="N15" s="2" t="s">
        <v>27</v>
      </c>
      <c r="O15" s="3">
        <v>482.08100000000002</v>
      </c>
      <c r="P15" s="2" t="s">
        <v>28</v>
      </c>
      <c r="Q15" s="4">
        <v>45705</v>
      </c>
      <c r="R15" s="4">
        <v>45780</v>
      </c>
      <c r="S15" s="2">
        <v>96662465</v>
      </c>
      <c r="T15" s="2">
        <v>139908</v>
      </c>
      <c r="V15" s="5">
        <f t="shared" si="0"/>
        <v>312431.87529000005</v>
      </c>
    </row>
    <row r="16" spans="2:22" x14ac:dyDescent="0.2">
      <c r="B16" s="2">
        <v>817538183</v>
      </c>
      <c r="C16" s="2">
        <v>6335716</v>
      </c>
      <c r="D16" s="2" t="s">
        <v>35</v>
      </c>
      <c r="E16" s="2" t="s">
        <v>20</v>
      </c>
      <c r="F16" s="2" t="s">
        <v>21</v>
      </c>
      <c r="G16" s="2" t="s">
        <v>22</v>
      </c>
      <c r="H16" s="2" t="s">
        <v>36</v>
      </c>
      <c r="I16" s="2">
        <v>2025</v>
      </c>
      <c r="J16" s="2" t="s">
        <v>24</v>
      </c>
      <c r="K16" s="2" t="s">
        <v>25</v>
      </c>
      <c r="L16" s="2">
        <v>634.80999999999995</v>
      </c>
      <c r="M16" s="2" t="s">
        <v>26</v>
      </c>
      <c r="N16" s="2" t="s">
        <v>27</v>
      </c>
      <c r="O16" s="3">
        <v>484.06099999999998</v>
      </c>
      <c r="P16" s="2" t="s">
        <v>28</v>
      </c>
      <c r="Q16" s="4">
        <v>45705</v>
      </c>
      <c r="R16" s="4">
        <v>45744</v>
      </c>
      <c r="S16" s="2">
        <v>96628142</v>
      </c>
      <c r="T16" s="2">
        <v>139373</v>
      </c>
      <c r="V16" s="5">
        <f t="shared" si="0"/>
        <v>307286.76340999996</v>
      </c>
    </row>
    <row r="17" spans="2:22" x14ac:dyDescent="0.2">
      <c r="B17" s="2">
        <v>817538181</v>
      </c>
      <c r="C17" s="2">
        <v>6335712</v>
      </c>
      <c r="D17" s="2" t="s">
        <v>35</v>
      </c>
      <c r="E17" s="2" t="s">
        <v>20</v>
      </c>
      <c r="F17" s="2" t="s">
        <v>21</v>
      </c>
      <c r="G17" s="2" t="s">
        <v>22</v>
      </c>
      <c r="H17" s="2" t="s">
        <v>36</v>
      </c>
      <c r="I17" s="2">
        <v>2025</v>
      </c>
      <c r="J17" s="2" t="s">
        <v>24</v>
      </c>
      <c r="K17" s="2" t="s">
        <v>25</v>
      </c>
      <c r="L17" s="2">
        <v>634.80999999999995</v>
      </c>
      <c r="M17" s="2" t="s">
        <v>26</v>
      </c>
      <c r="N17" s="2" t="s">
        <v>27</v>
      </c>
      <c r="O17" s="3">
        <v>484.61399999999998</v>
      </c>
      <c r="P17" s="2" t="s">
        <v>28</v>
      </c>
      <c r="Q17" s="4">
        <v>45705</v>
      </c>
      <c r="R17" s="4">
        <v>45751</v>
      </c>
      <c r="S17" s="2">
        <v>96635918</v>
      </c>
      <c r="T17" s="2">
        <v>139559</v>
      </c>
      <c r="V17" s="5">
        <f t="shared" si="0"/>
        <v>307637.81333999994</v>
      </c>
    </row>
    <row r="18" spans="2:22" x14ac:dyDescent="0.2">
      <c r="B18" s="2">
        <v>817538177</v>
      </c>
      <c r="C18" s="2">
        <v>6335710</v>
      </c>
      <c r="D18" s="2" t="s">
        <v>35</v>
      </c>
      <c r="E18" s="2" t="s">
        <v>20</v>
      </c>
      <c r="F18" s="2" t="s">
        <v>21</v>
      </c>
      <c r="G18" s="2" t="s">
        <v>22</v>
      </c>
      <c r="H18" s="2" t="s">
        <v>36</v>
      </c>
      <c r="I18" s="2">
        <v>2025</v>
      </c>
      <c r="J18" s="2" t="s">
        <v>24</v>
      </c>
      <c r="K18" s="2" t="s">
        <v>25</v>
      </c>
      <c r="L18" s="2">
        <v>634.80999999999995</v>
      </c>
      <c r="M18" s="2" t="s">
        <v>26</v>
      </c>
      <c r="N18" s="2" t="s">
        <v>27</v>
      </c>
      <c r="O18" s="3">
        <v>483.87299999999999</v>
      </c>
      <c r="P18" s="2" t="s">
        <v>28</v>
      </c>
      <c r="Q18" s="4">
        <v>45705</v>
      </c>
      <c r="R18" s="4">
        <v>45767</v>
      </c>
      <c r="S18" s="2">
        <v>96648302</v>
      </c>
      <c r="T18" s="2">
        <v>139734</v>
      </c>
      <c r="V18" s="5">
        <f t="shared" si="0"/>
        <v>307167.41912999999</v>
      </c>
    </row>
    <row r="19" spans="2:22" x14ac:dyDescent="0.2">
      <c r="B19" s="2">
        <v>817538180</v>
      </c>
      <c r="C19" s="2">
        <v>6335711</v>
      </c>
      <c r="D19" s="2" t="s">
        <v>35</v>
      </c>
      <c r="E19" s="2" t="s">
        <v>20</v>
      </c>
      <c r="F19" s="2" t="s">
        <v>21</v>
      </c>
      <c r="G19" s="2" t="s">
        <v>22</v>
      </c>
      <c r="H19" s="2" t="s">
        <v>37</v>
      </c>
      <c r="I19" s="2">
        <v>2025</v>
      </c>
      <c r="J19" s="2" t="s">
        <v>24</v>
      </c>
      <c r="K19" s="2" t="s">
        <v>25</v>
      </c>
      <c r="L19" s="2">
        <v>632</v>
      </c>
      <c r="M19" s="2" t="s">
        <v>26</v>
      </c>
      <c r="N19" s="2" t="s">
        <v>27</v>
      </c>
      <c r="O19" s="2">
        <v>510.38</v>
      </c>
      <c r="P19" s="2" t="s">
        <v>28</v>
      </c>
      <c r="Q19" s="4">
        <v>45705</v>
      </c>
      <c r="R19" s="4">
        <v>45737</v>
      </c>
      <c r="S19" s="2">
        <v>96620877</v>
      </c>
      <c r="T19" s="2">
        <v>139286</v>
      </c>
      <c r="V19" s="5">
        <f t="shared" si="0"/>
        <v>322560.15999999997</v>
      </c>
    </row>
    <row r="20" spans="2:22" x14ac:dyDescent="0.2">
      <c r="B20" s="2">
        <v>817538172</v>
      </c>
      <c r="C20" s="2">
        <v>6335708</v>
      </c>
      <c r="D20" s="2" t="s">
        <v>35</v>
      </c>
      <c r="E20" s="2" t="s">
        <v>20</v>
      </c>
      <c r="F20" s="2" t="s">
        <v>21</v>
      </c>
      <c r="G20" s="2" t="s">
        <v>22</v>
      </c>
      <c r="H20" s="2" t="s">
        <v>37</v>
      </c>
      <c r="I20" s="2">
        <v>2025</v>
      </c>
      <c r="J20" s="2" t="s">
        <v>24</v>
      </c>
      <c r="K20" s="2" t="s">
        <v>25</v>
      </c>
      <c r="L20" s="2">
        <v>632</v>
      </c>
      <c r="M20" s="2" t="s">
        <v>26</v>
      </c>
      <c r="N20" s="2" t="s">
        <v>27</v>
      </c>
      <c r="O20" s="3">
        <v>509.19400000000002</v>
      </c>
      <c r="P20" s="2" t="s">
        <v>28</v>
      </c>
      <c r="Q20" s="4">
        <v>45705</v>
      </c>
      <c r="R20" s="4">
        <v>45723</v>
      </c>
      <c r="S20" s="2">
        <v>96610372</v>
      </c>
      <c r="T20" s="2">
        <v>139057</v>
      </c>
      <c r="V20" s="5">
        <f t="shared" si="0"/>
        <v>321810.60800000001</v>
      </c>
    </row>
    <row r="21" spans="2:22" x14ac:dyDescent="0.2">
      <c r="B21" s="2">
        <v>817538175</v>
      </c>
      <c r="C21" s="2">
        <v>6335709</v>
      </c>
      <c r="D21" s="2" t="s">
        <v>35</v>
      </c>
      <c r="E21" s="2" t="s">
        <v>20</v>
      </c>
      <c r="F21" s="2" t="s">
        <v>21</v>
      </c>
      <c r="G21" s="2" t="s">
        <v>22</v>
      </c>
      <c r="H21" s="2" t="s">
        <v>37</v>
      </c>
      <c r="I21" s="2">
        <v>2025</v>
      </c>
      <c r="J21" s="2" t="s">
        <v>24</v>
      </c>
      <c r="K21" s="2" t="s">
        <v>25</v>
      </c>
      <c r="L21" s="2">
        <v>632</v>
      </c>
      <c r="M21" s="2" t="s">
        <v>26</v>
      </c>
      <c r="N21" s="2" t="s">
        <v>27</v>
      </c>
      <c r="O21" s="3">
        <v>485.03300000000002</v>
      </c>
      <c r="P21" s="2" t="s">
        <v>28</v>
      </c>
      <c r="Q21" s="4">
        <v>45705</v>
      </c>
      <c r="R21" s="4">
        <v>45730</v>
      </c>
      <c r="S21" s="2">
        <v>96615959</v>
      </c>
      <c r="T21" s="2">
        <v>139214</v>
      </c>
      <c r="V21" s="5">
        <f t="shared" si="0"/>
        <v>306540.85600000003</v>
      </c>
    </row>
    <row r="22" spans="2:22" x14ac:dyDescent="0.2">
      <c r="B22" s="2">
        <v>817538161</v>
      </c>
      <c r="C22" s="2">
        <v>6335707</v>
      </c>
      <c r="D22" s="2" t="s">
        <v>35</v>
      </c>
      <c r="E22" s="2" t="s">
        <v>20</v>
      </c>
      <c r="F22" s="2" t="s">
        <v>21</v>
      </c>
      <c r="G22" s="2" t="s">
        <v>22</v>
      </c>
      <c r="H22" s="2" t="s">
        <v>37</v>
      </c>
      <c r="I22" s="2">
        <v>2025</v>
      </c>
      <c r="J22" s="2" t="s">
        <v>24</v>
      </c>
      <c r="K22" s="2" t="s">
        <v>25</v>
      </c>
      <c r="L22" s="2">
        <v>632</v>
      </c>
      <c r="M22" s="2" t="s">
        <v>26</v>
      </c>
      <c r="N22" s="2" t="s">
        <v>27</v>
      </c>
      <c r="O22" s="2">
        <v>511.16</v>
      </c>
      <c r="P22" s="2" t="s">
        <v>28</v>
      </c>
      <c r="Q22" s="4">
        <v>45705</v>
      </c>
      <c r="R22" s="4">
        <v>45715</v>
      </c>
      <c r="S22" s="2">
        <v>96602383</v>
      </c>
      <c r="T22" s="2">
        <v>138871</v>
      </c>
      <c r="V22" s="5">
        <f t="shared" si="0"/>
        <v>323053.12</v>
      </c>
    </row>
    <row r="23" spans="2:22" x14ac:dyDescent="0.2">
      <c r="B23" s="2">
        <v>817331107</v>
      </c>
      <c r="C23" s="2">
        <v>6271821</v>
      </c>
      <c r="D23" s="2" t="s">
        <v>38</v>
      </c>
      <c r="E23" s="2" t="s">
        <v>20</v>
      </c>
      <c r="F23" s="2" t="s">
        <v>21</v>
      </c>
      <c r="G23" s="2" t="s">
        <v>22</v>
      </c>
      <c r="H23" s="2" t="s">
        <v>39</v>
      </c>
      <c r="I23" s="2">
        <v>2025</v>
      </c>
      <c r="J23" s="2" t="s">
        <v>24</v>
      </c>
      <c r="K23" s="2" t="s">
        <v>25</v>
      </c>
      <c r="L23" s="2">
        <v>664</v>
      </c>
      <c r="M23" s="2" t="s">
        <v>26</v>
      </c>
      <c r="N23" s="2" t="s">
        <v>27</v>
      </c>
      <c r="O23" s="2">
        <v>306.54000000000002</v>
      </c>
      <c r="P23" s="2" t="s">
        <v>28</v>
      </c>
      <c r="Q23" s="4">
        <v>45649</v>
      </c>
      <c r="R23" s="4">
        <v>45695</v>
      </c>
      <c r="S23" s="2">
        <v>96582115</v>
      </c>
      <c r="T23" s="2">
        <v>138674</v>
      </c>
      <c r="V23" s="5">
        <f t="shared" si="0"/>
        <v>203542.56000000003</v>
      </c>
    </row>
    <row r="24" spans="2:22" x14ac:dyDescent="0.2">
      <c r="B24" s="2">
        <v>817331104</v>
      </c>
      <c r="C24" s="2">
        <v>6271819</v>
      </c>
      <c r="D24" s="2" t="s">
        <v>38</v>
      </c>
      <c r="E24" s="2" t="s">
        <v>20</v>
      </c>
      <c r="F24" s="2" t="s">
        <v>21</v>
      </c>
      <c r="G24" s="2" t="s">
        <v>22</v>
      </c>
      <c r="H24" s="2" t="s">
        <v>39</v>
      </c>
      <c r="I24" s="2">
        <v>2025</v>
      </c>
      <c r="J24" s="2" t="s">
        <v>24</v>
      </c>
      <c r="K24" s="2" t="s">
        <v>25</v>
      </c>
      <c r="L24" s="2">
        <v>664</v>
      </c>
      <c r="M24" s="2" t="s">
        <v>26</v>
      </c>
      <c r="N24" s="2" t="s">
        <v>27</v>
      </c>
      <c r="O24" s="2">
        <v>510.9</v>
      </c>
      <c r="P24" s="2" t="s">
        <v>28</v>
      </c>
      <c r="Q24" s="4">
        <v>45649</v>
      </c>
      <c r="R24" s="4">
        <v>45680</v>
      </c>
      <c r="S24" s="2">
        <v>96568125</v>
      </c>
      <c r="T24" s="2">
        <v>138462</v>
      </c>
      <c r="V24" s="5">
        <f t="shared" si="0"/>
        <v>339237.6</v>
      </c>
    </row>
    <row r="25" spans="2:22" x14ac:dyDescent="0.2">
      <c r="B25" s="2">
        <v>817331102</v>
      </c>
      <c r="C25" s="2">
        <v>6271818</v>
      </c>
      <c r="D25" s="2" t="s">
        <v>38</v>
      </c>
      <c r="E25" s="2" t="s">
        <v>20</v>
      </c>
      <c r="F25" s="2" t="s">
        <v>21</v>
      </c>
      <c r="G25" s="2" t="s">
        <v>22</v>
      </c>
      <c r="H25" s="2" t="s">
        <v>39</v>
      </c>
      <c r="I25" s="2">
        <v>2025</v>
      </c>
      <c r="J25" s="2" t="s">
        <v>24</v>
      </c>
      <c r="K25" s="2" t="s">
        <v>25</v>
      </c>
      <c r="L25" s="2">
        <v>664</v>
      </c>
      <c r="M25" s="2" t="s">
        <v>26</v>
      </c>
      <c r="N25" s="2" t="s">
        <v>27</v>
      </c>
      <c r="O25" s="2">
        <v>510.9</v>
      </c>
      <c r="P25" s="2" t="s">
        <v>28</v>
      </c>
      <c r="Q25" s="4">
        <v>45649</v>
      </c>
      <c r="R25" s="4">
        <v>45688</v>
      </c>
      <c r="S25" s="2">
        <v>96575713</v>
      </c>
      <c r="T25" s="2">
        <v>138545</v>
      </c>
      <c r="V25" s="5">
        <f t="shared" si="0"/>
        <v>339237.6</v>
      </c>
    </row>
    <row r="26" spans="2:22" x14ac:dyDescent="0.2">
      <c r="B26" s="2">
        <v>817331100</v>
      </c>
      <c r="C26" s="2">
        <v>6271816</v>
      </c>
      <c r="D26" s="2" t="s">
        <v>38</v>
      </c>
      <c r="E26" s="2" t="s">
        <v>20</v>
      </c>
      <c r="F26" s="2" t="s">
        <v>21</v>
      </c>
      <c r="G26" s="2" t="s">
        <v>22</v>
      </c>
      <c r="H26" s="2" t="s">
        <v>39</v>
      </c>
      <c r="I26" s="2">
        <v>2025</v>
      </c>
      <c r="J26" s="2" t="s">
        <v>24</v>
      </c>
      <c r="K26" s="2" t="s">
        <v>25</v>
      </c>
      <c r="L26" s="2">
        <v>664</v>
      </c>
      <c r="M26" s="2" t="s">
        <v>26</v>
      </c>
      <c r="N26" s="2" t="s">
        <v>27</v>
      </c>
      <c r="O26" s="2">
        <v>510.9</v>
      </c>
      <c r="P26" s="2" t="s">
        <v>28</v>
      </c>
      <c r="Q26" s="4">
        <v>45649</v>
      </c>
      <c r="R26" s="4">
        <v>45675</v>
      </c>
      <c r="S26" s="2">
        <v>96561724</v>
      </c>
      <c r="T26" s="2">
        <v>138370</v>
      </c>
      <c r="V26" s="5">
        <f t="shared" si="0"/>
        <v>339237.6</v>
      </c>
    </row>
    <row r="27" spans="2:22" x14ac:dyDescent="0.2">
      <c r="B27" s="2">
        <v>817312252</v>
      </c>
      <c r="C27" s="2">
        <v>6265650</v>
      </c>
      <c r="D27" s="2" t="s">
        <v>38</v>
      </c>
      <c r="E27" s="2" t="s">
        <v>20</v>
      </c>
      <c r="F27" s="2" t="s">
        <v>21</v>
      </c>
      <c r="G27" s="2" t="s">
        <v>22</v>
      </c>
      <c r="H27" s="2" t="s">
        <v>40</v>
      </c>
      <c r="I27" s="2">
        <v>2024</v>
      </c>
      <c r="J27" s="2" t="s">
        <v>24</v>
      </c>
      <c r="K27" s="2" t="s">
        <v>25</v>
      </c>
      <c r="L27" s="2">
        <v>679</v>
      </c>
      <c r="M27" s="2" t="s">
        <v>26</v>
      </c>
      <c r="N27" s="2" t="s">
        <v>27</v>
      </c>
      <c r="O27" s="3">
        <v>509.68799999999999</v>
      </c>
      <c r="P27" s="2" t="s">
        <v>28</v>
      </c>
      <c r="Q27" s="4">
        <v>45644</v>
      </c>
      <c r="R27" s="4">
        <v>45665</v>
      </c>
      <c r="S27" s="2">
        <v>96554524</v>
      </c>
      <c r="T27" s="2">
        <v>138261</v>
      </c>
      <c r="V27" s="5">
        <f t="shared" si="0"/>
        <v>346078.152</v>
      </c>
    </row>
    <row r="28" spans="2:22" x14ac:dyDescent="0.2">
      <c r="B28" s="2">
        <v>817312251</v>
      </c>
      <c r="C28" s="2">
        <v>6265649</v>
      </c>
      <c r="D28" s="2" t="s">
        <v>38</v>
      </c>
      <c r="E28" s="2" t="s">
        <v>20</v>
      </c>
      <c r="F28" s="2" t="s">
        <v>21</v>
      </c>
      <c r="G28" s="2" t="s">
        <v>22</v>
      </c>
      <c r="H28" s="2" t="s">
        <v>40</v>
      </c>
      <c r="I28" s="2">
        <v>2024</v>
      </c>
      <c r="J28" s="2" t="s">
        <v>24</v>
      </c>
      <c r="K28" s="2" t="s">
        <v>25</v>
      </c>
      <c r="L28" s="2">
        <v>679</v>
      </c>
      <c r="M28" s="2" t="s">
        <v>26</v>
      </c>
      <c r="N28" s="2" t="s">
        <v>27</v>
      </c>
      <c r="O28" s="3">
        <v>510.339</v>
      </c>
      <c r="P28" s="2" t="s">
        <v>28</v>
      </c>
      <c r="Q28" s="4">
        <v>45644</v>
      </c>
      <c r="R28" s="4">
        <v>45653</v>
      </c>
      <c r="S28" s="2">
        <v>96542603</v>
      </c>
      <c r="T28" s="2">
        <v>138023</v>
      </c>
      <c r="V28" s="5">
        <f t="shared" si="0"/>
        <v>346520.18099999998</v>
      </c>
    </row>
    <row r="29" spans="2:22" x14ac:dyDescent="0.2">
      <c r="B29" s="2">
        <v>817312250</v>
      </c>
      <c r="C29" s="2">
        <v>6265648</v>
      </c>
      <c r="D29" s="2" t="s">
        <v>38</v>
      </c>
      <c r="E29" s="2" t="s">
        <v>20</v>
      </c>
      <c r="F29" s="2" t="s">
        <v>21</v>
      </c>
      <c r="G29" s="2" t="s">
        <v>22</v>
      </c>
      <c r="H29" s="2" t="s">
        <v>40</v>
      </c>
      <c r="I29" s="2">
        <v>2024</v>
      </c>
      <c r="J29" s="2" t="s">
        <v>24</v>
      </c>
      <c r="K29" s="2" t="s">
        <v>25</v>
      </c>
      <c r="L29" s="2">
        <v>679</v>
      </c>
      <c r="M29" s="2" t="s">
        <v>26</v>
      </c>
      <c r="N29" s="2" t="s">
        <v>27</v>
      </c>
      <c r="O29" s="3">
        <v>510.76400000000001</v>
      </c>
      <c r="P29" s="2" t="s">
        <v>28</v>
      </c>
      <c r="Q29" s="4">
        <v>45644</v>
      </c>
      <c r="R29" s="4">
        <v>45653</v>
      </c>
      <c r="S29" s="2">
        <v>96542602</v>
      </c>
      <c r="T29" s="2">
        <v>138022</v>
      </c>
      <c r="V29" s="5">
        <f t="shared" si="0"/>
        <v>346808.75599999999</v>
      </c>
    </row>
    <row r="30" spans="2:22" x14ac:dyDescent="0.2">
      <c r="B30" s="2">
        <v>816615139</v>
      </c>
      <c r="C30" s="2">
        <v>6034159</v>
      </c>
      <c r="D30" s="2" t="s">
        <v>41</v>
      </c>
      <c r="E30" s="2" t="s">
        <v>20</v>
      </c>
      <c r="F30" s="2" t="s">
        <v>42</v>
      </c>
      <c r="G30" s="2" t="s">
        <v>22</v>
      </c>
      <c r="H30" s="2" t="s">
        <v>37</v>
      </c>
      <c r="I30" s="2">
        <v>2024</v>
      </c>
      <c r="J30" s="2" t="s">
        <v>24</v>
      </c>
      <c r="K30" s="2" t="s">
        <v>43</v>
      </c>
      <c r="L30" s="2">
        <v>634.5</v>
      </c>
      <c r="M30" s="2" t="s">
        <v>27</v>
      </c>
      <c r="N30" s="2" t="s">
        <v>26</v>
      </c>
      <c r="O30" s="3">
        <v>499.12799999999999</v>
      </c>
      <c r="P30" s="2" t="s">
        <v>28</v>
      </c>
      <c r="Q30" s="4">
        <v>45468</v>
      </c>
      <c r="R30" s="4">
        <v>45483</v>
      </c>
      <c r="S30" s="2">
        <v>96375259</v>
      </c>
      <c r="T30" s="2">
        <v>135484</v>
      </c>
      <c r="V30" s="5">
        <f t="shared" si="0"/>
        <v>316696.71600000001</v>
      </c>
    </row>
    <row r="31" spans="2:22" x14ac:dyDescent="0.2">
      <c r="B31" s="2">
        <v>816615137</v>
      </c>
      <c r="C31" s="2">
        <v>6034157</v>
      </c>
      <c r="D31" s="2" t="s">
        <v>44</v>
      </c>
      <c r="E31" s="2" t="s">
        <v>20</v>
      </c>
      <c r="F31" s="2" t="s">
        <v>42</v>
      </c>
      <c r="G31" s="2" t="s">
        <v>22</v>
      </c>
      <c r="H31" s="2" t="s">
        <v>32</v>
      </c>
      <c r="I31" s="2">
        <v>2024</v>
      </c>
      <c r="J31" s="2" t="s">
        <v>24</v>
      </c>
      <c r="K31" s="2" t="s">
        <v>25</v>
      </c>
      <c r="L31" s="2">
        <v>792.3</v>
      </c>
      <c r="M31" s="2" t="s">
        <v>27</v>
      </c>
      <c r="N31" s="2" t="s">
        <v>26</v>
      </c>
      <c r="O31" s="2">
        <v>511.42</v>
      </c>
      <c r="P31" s="2" t="s">
        <v>28</v>
      </c>
      <c r="Q31" s="4">
        <v>45468</v>
      </c>
      <c r="R31" s="4">
        <v>45517</v>
      </c>
      <c r="S31" s="2">
        <v>96414604</v>
      </c>
      <c r="T31" s="2">
        <v>135994</v>
      </c>
      <c r="V31" s="5">
        <f t="shared" si="0"/>
        <v>405198.06599999999</v>
      </c>
    </row>
    <row r="32" spans="2:22" x14ac:dyDescent="0.2">
      <c r="B32" s="2">
        <v>816615134</v>
      </c>
      <c r="C32" s="2">
        <v>6034153</v>
      </c>
      <c r="D32" s="2" t="s">
        <v>44</v>
      </c>
      <c r="E32" s="2" t="s">
        <v>20</v>
      </c>
      <c r="F32" s="2" t="s">
        <v>42</v>
      </c>
      <c r="G32" s="2" t="s">
        <v>22</v>
      </c>
      <c r="H32" s="2" t="s">
        <v>32</v>
      </c>
      <c r="I32" s="2">
        <v>2024</v>
      </c>
      <c r="J32" s="2" t="s">
        <v>24</v>
      </c>
      <c r="K32" s="2" t="s">
        <v>25</v>
      </c>
      <c r="L32" s="2">
        <v>777.3</v>
      </c>
      <c r="M32" s="2" t="s">
        <v>27</v>
      </c>
      <c r="N32" s="2" t="s">
        <v>26</v>
      </c>
      <c r="O32" s="2">
        <v>509.86</v>
      </c>
      <c r="P32" s="2" t="s">
        <v>28</v>
      </c>
      <c r="Q32" s="4">
        <v>45468</v>
      </c>
      <c r="R32" s="4">
        <v>45517</v>
      </c>
      <c r="S32" s="2">
        <v>96414602</v>
      </c>
      <c r="T32" s="2">
        <v>135992</v>
      </c>
      <c r="V32" s="5">
        <f t="shared" si="0"/>
        <v>396314.17800000001</v>
      </c>
    </row>
    <row r="33" spans="2:22" x14ac:dyDescent="0.2">
      <c r="B33" s="2">
        <v>816615135</v>
      </c>
      <c r="C33" s="2">
        <v>6034156</v>
      </c>
      <c r="D33" s="2" t="s">
        <v>44</v>
      </c>
      <c r="E33" s="2" t="s">
        <v>20</v>
      </c>
      <c r="F33" s="2" t="s">
        <v>42</v>
      </c>
      <c r="G33" s="2" t="s">
        <v>22</v>
      </c>
      <c r="H33" s="2" t="s">
        <v>32</v>
      </c>
      <c r="I33" s="2">
        <v>2024</v>
      </c>
      <c r="J33" s="2" t="s">
        <v>24</v>
      </c>
      <c r="K33" s="2" t="s">
        <v>25</v>
      </c>
      <c r="L33" s="2">
        <v>777.3</v>
      </c>
      <c r="M33" s="2" t="s">
        <v>27</v>
      </c>
      <c r="N33" s="2" t="s">
        <v>26</v>
      </c>
      <c r="O33" s="2">
        <v>509.86</v>
      </c>
      <c r="P33" s="2" t="s">
        <v>28</v>
      </c>
      <c r="Q33" s="4">
        <v>45468</v>
      </c>
      <c r="R33" s="4">
        <v>45517</v>
      </c>
      <c r="S33" s="2">
        <v>96414603</v>
      </c>
      <c r="T33" s="2">
        <v>135993</v>
      </c>
      <c r="V33" s="5">
        <f t="shared" si="0"/>
        <v>396314.17800000001</v>
      </c>
    </row>
    <row r="34" spans="2:22" x14ac:dyDescent="0.2">
      <c r="B34" s="2">
        <v>816615130</v>
      </c>
      <c r="C34" s="2">
        <v>6034145</v>
      </c>
      <c r="D34" s="2" t="s">
        <v>44</v>
      </c>
      <c r="E34" s="2" t="s">
        <v>20</v>
      </c>
      <c r="F34" s="2" t="s">
        <v>21</v>
      </c>
      <c r="G34" s="2" t="s">
        <v>22</v>
      </c>
      <c r="H34" s="2" t="s">
        <v>32</v>
      </c>
      <c r="I34" s="2">
        <v>2024</v>
      </c>
      <c r="J34" s="2" t="s">
        <v>24</v>
      </c>
      <c r="K34" s="2" t="s">
        <v>25</v>
      </c>
      <c r="L34" s="2">
        <v>777.3</v>
      </c>
      <c r="M34" s="2" t="s">
        <v>27</v>
      </c>
      <c r="N34" s="2" t="s">
        <v>26</v>
      </c>
      <c r="O34" s="2">
        <v>381.03</v>
      </c>
      <c r="P34" s="2" t="s">
        <v>28</v>
      </c>
      <c r="Q34" s="4">
        <v>45468</v>
      </c>
      <c r="R34" s="4">
        <v>45547</v>
      </c>
      <c r="S34" s="2">
        <v>96443701</v>
      </c>
      <c r="T34" s="2">
        <v>136405</v>
      </c>
      <c r="V34" s="5">
        <f t="shared" si="0"/>
        <v>296174.61899999995</v>
      </c>
    </row>
    <row r="35" spans="2:22" x14ac:dyDescent="0.2">
      <c r="B35" s="2">
        <v>816615127</v>
      </c>
      <c r="C35" s="2">
        <v>6034142</v>
      </c>
      <c r="D35" s="2" t="s">
        <v>45</v>
      </c>
      <c r="E35" s="2" t="s">
        <v>20</v>
      </c>
      <c r="F35" s="2" t="s">
        <v>42</v>
      </c>
      <c r="G35" s="2" t="s">
        <v>22</v>
      </c>
      <c r="H35" s="2" t="s">
        <v>33</v>
      </c>
      <c r="I35" s="2">
        <v>2024</v>
      </c>
      <c r="J35" s="2" t="s">
        <v>24</v>
      </c>
      <c r="K35" s="2" t="s">
        <v>25</v>
      </c>
      <c r="L35" s="2">
        <v>749.1</v>
      </c>
      <c r="M35" s="2" t="s">
        <v>27</v>
      </c>
      <c r="N35" s="2" t="s">
        <v>26</v>
      </c>
      <c r="O35" s="2">
        <v>511.42</v>
      </c>
      <c r="P35" s="2" t="s">
        <v>28</v>
      </c>
      <c r="Q35" s="4">
        <v>45468</v>
      </c>
      <c r="R35" s="4">
        <v>45517</v>
      </c>
      <c r="S35" s="2">
        <v>96414601</v>
      </c>
      <c r="T35" s="2">
        <v>135991</v>
      </c>
      <c r="V35" s="5">
        <f t="shared" si="0"/>
        <v>383104.72200000001</v>
      </c>
    </row>
    <row r="36" spans="2:22" x14ac:dyDescent="0.2">
      <c r="B36" s="2">
        <v>816615124</v>
      </c>
      <c r="C36" s="2">
        <v>6034137</v>
      </c>
      <c r="D36" s="2" t="s">
        <v>45</v>
      </c>
      <c r="E36" s="2" t="s">
        <v>20</v>
      </c>
      <c r="F36" s="2" t="s">
        <v>42</v>
      </c>
      <c r="G36" s="2" t="s">
        <v>22</v>
      </c>
      <c r="H36" s="2" t="s">
        <v>33</v>
      </c>
      <c r="I36" s="2">
        <v>2024</v>
      </c>
      <c r="J36" s="2" t="s">
        <v>24</v>
      </c>
      <c r="K36" s="2" t="s">
        <v>43</v>
      </c>
      <c r="L36" s="2">
        <v>749.1</v>
      </c>
      <c r="M36" s="2" t="s">
        <v>27</v>
      </c>
      <c r="N36" s="2" t="s">
        <v>26</v>
      </c>
      <c r="O36" s="3">
        <v>499.08199999999999</v>
      </c>
      <c r="P36" s="2" t="s">
        <v>28</v>
      </c>
      <c r="Q36" s="4">
        <v>45468</v>
      </c>
      <c r="R36" s="4">
        <v>45483</v>
      </c>
      <c r="S36" s="2">
        <v>96375260</v>
      </c>
      <c r="T36" s="2">
        <v>135485</v>
      </c>
      <c r="V36" s="5">
        <f t="shared" si="0"/>
        <v>373862.32620000001</v>
      </c>
    </row>
    <row r="37" spans="2:22" x14ac:dyDescent="0.2">
      <c r="B37" s="2">
        <v>816615126</v>
      </c>
      <c r="C37" s="2">
        <v>6034138</v>
      </c>
      <c r="D37" s="2" t="s">
        <v>45</v>
      </c>
      <c r="E37" s="2" t="s">
        <v>20</v>
      </c>
      <c r="F37" s="2" t="s">
        <v>42</v>
      </c>
      <c r="G37" s="2" t="s">
        <v>22</v>
      </c>
      <c r="H37" s="2" t="s">
        <v>33</v>
      </c>
      <c r="I37" s="2">
        <v>2024</v>
      </c>
      <c r="J37" s="2" t="s">
        <v>24</v>
      </c>
      <c r="K37" s="2" t="s">
        <v>43</v>
      </c>
      <c r="L37" s="2">
        <v>749.1</v>
      </c>
      <c r="M37" s="2" t="s">
        <v>27</v>
      </c>
      <c r="N37" s="2" t="s">
        <v>26</v>
      </c>
      <c r="O37" s="3">
        <v>499.12799999999999</v>
      </c>
      <c r="P37" s="2" t="s">
        <v>28</v>
      </c>
      <c r="Q37" s="4">
        <v>45468</v>
      </c>
      <c r="R37" s="4">
        <v>45483</v>
      </c>
      <c r="S37" s="2">
        <v>96375258</v>
      </c>
      <c r="T37" s="2">
        <v>135483</v>
      </c>
      <c r="V37" s="5">
        <f t="shared" si="0"/>
        <v>373896.78480000002</v>
      </c>
    </row>
    <row r="38" spans="2:22" x14ac:dyDescent="0.2">
      <c r="B38" s="2">
        <v>816615121</v>
      </c>
      <c r="C38" s="2">
        <v>6034135</v>
      </c>
      <c r="D38" s="2" t="s">
        <v>45</v>
      </c>
      <c r="E38" s="2" t="s">
        <v>20</v>
      </c>
      <c r="F38" s="2" t="s">
        <v>42</v>
      </c>
      <c r="G38" s="2" t="s">
        <v>22</v>
      </c>
      <c r="H38" s="2" t="s">
        <v>33</v>
      </c>
      <c r="I38" s="2">
        <v>2024</v>
      </c>
      <c r="J38" s="2" t="s">
        <v>24</v>
      </c>
      <c r="K38" s="2" t="s">
        <v>43</v>
      </c>
      <c r="L38" s="2">
        <v>749.1</v>
      </c>
      <c r="M38" s="2" t="s">
        <v>27</v>
      </c>
      <c r="N38" s="2" t="s">
        <v>26</v>
      </c>
      <c r="O38" s="3">
        <v>499.01799999999997</v>
      </c>
      <c r="P38" s="2" t="s">
        <v>28</v>
      </c>
      <c r="Q38" s="4">
        <v>45468</v>
      </c>
      <c r="R38" s="4">
        <v>45483</v>
      </c>
      <c r="S38" s="2">
        <v>96375256</v>
      </c>
      <c r="T38" s="2">
        <v>135481</v>
      </c>
      <c r="V38" s="5">
        <f t="shared" si="0"/>
        <v>373814.38380000001</v>
      </c>
    </row>
    <row r="39" spans="2:22" x14ac:dyDescent="0.2">
      <c r="B39" s="2">
        <v>816615120</v>
      </c>
      <c r="C39" s="2">
        <v>6034132</v>
      </c>
      <c r="D39" s="2" t="s">
        <v>45</v>
      </c>
      <c r="E39" s="2" t="s">
        <v>20</v>
      </c>
      <c r="F39" s="2" t="s">
        <v>42</v>
      </c>
      <c r="G39" s="2" t="s">
        <v>22</v>
      </c>
      <c r="H39" s="2" t="s">
        <v>33</v>
      </c>
      <c r="I39" s="2">
        <v>2024</v>
      </c>
      <c r="J39" s="2" t="s">
        <v>24</v>
      </c>
      <c r="K39" s="2" t="s">
        <v>25</v>
      </c>
      <c r="L39" s="2">
        <v>749.1</v>
      </c>
      <c r="M39" s="2" t="s">
        <v>27</v>
      </c>
      <c r="N39" s="2" t="s">
        <v>26</v>
      </c>
      <c r="O39" s="3">
        <v>509.971</v>
      </c>
      <c r="P39" s="2" t="s">
        <v>28</v>
      </c>
      <c r="Q39" s="4">
        <v>45468</v>
      </c>
      <c r="R39" s="4">
        <v>45493</v>
      </c>
      <c r="S39" s="2">
        <v>96389732</v>
      </c>
      <c r="T39" s="2">
        <v>135667</v>
      </c>
      <c r="V39" s="5">
        <f t="shared" si="0"/>
        <v>382019.27610000002</v>
      </c>
    </row>
    <row r="40" spans="2:22" x14ac:dyDescent="0.2">
      <c r="B40" s="2">
        <v>816615117</v>
      </c>
      <c r="C40" s="2">
        <v>6034130</v>
      </c>
      <c r="D40" s="2" t="s">
        <v>45</v>
      </c>
      <c r="E40" s="2" t="s">
        <v>20</v>
      </c>
      <c r="F40" s="2" t="s">
        <v>42</v>
      </c>
      <c r="G40" s="2" t="s">
        <v>22</v>
      </c>
      <c r="H40" s="2" t="s">
        <v>33</v>
      </c>
      <c r="I40" s="2">
        <v>2024</v>
      </c>
      <c r="J40" s="2" t="s">
        <v>24</v>
      </c>
      <c r="K40" s="2" t="s">
        <v>25</v>
      </c>
      <c r="L40" s="2">
        <v>749.1</v>
      </c>
      <c r="M40" s="2" t="s">
        <v>27</v>
      </c>
      <c r="N40" s="2" t="s">
        <v>26</v>
      </c>
      <c r="O40" s="2">
        <v>511.94</v>
      </c>
      <c r="P40" s="2" t="s">
        <v>28</v>
      </c>
      <c r="Q40" s="4">
        <v>45468</v>
      </c>
      <c r="R40" s="4">
        <v>45493</v>
      </c>
      <c r="S40" s="2">
        <v>96389730</v>
      </c>
      <c r="T40" s="2">
        <v>135666</v>
      </c>
      <c r="V40" s="5">
        <f t="shared" si="0"/>
        <v>383494.25400000002</v>
      </c>
    </row>
    <row r="41" spans="2:22" x14ac:dyDescent="0.2">
      <c r="B41" s="2">
        <v>816536998</v>
      </c>
      <c r="C41" s="2">
        <v>6009383</v>
      </c>
      <c r="D41" s="2" t="s">
        <v>41</v>
      </c>
      <c r="E41" s="2" t="s">
        <v>20</v>
      </c>
      <c r="F41" s="2" t="s">
        <v>42</v>
      </c>
      <c r="G41" s="2" t="s">
        <v>22</v>
      </c>
      <c r="H41" s="2" t="s">
        <v>37</v>
      </c>
      <c r="I41" s="2">
        <v>2024</v>
      </c>
      <c r="J41" s="2" t="s">
        <v>24</v>
      </c>
      <c r="K41" s="2" t="s">
        <v>43</v>
      </c>
      <c r="L41" s="2">
        <v>634.5</v>
      </c>
      <c r="M41" s="2" t="s">
        <v>27</v>
      </c>
      <c r="N41" s="2" t="s">
        <v>27</v>
      </c>
      <c r="O41" s="3">
        <v>499.11799999999999</v>
      </c>
      <c r="P41" s="2" t="s">
        <v>28</v>
      </c>
      <c r="Q41" s="4">
        <v>45449</v>
      </c>
      <c r="R41" s="4">
        <v>45459</v>
      </c>
      <c r="S41" s="2">
        <v>96349967</v>
      </c>
      <c r="T41" s="2">
        <v>135057</v>
      </c>
      <c r="V41" s="5">
        <f t="shared" si="0"/>
        <v>316690.37099999998</v>
      </c>
    </row>
    <row r="42" spans="2:22" x14ac:dyDescent="0.2">
      <c r="B42" s="2">
        <v>816492786</v>
      </c>
      <c r="C42" s="2">
        <v>5995177</v>
      </c>
      <c r="D42" s="2" t="s">
        <v>41</v>
      </c>
      <c r="E42" s="2" t="s">
        <v>20</v>
      </c>
      <c r="F42" s="2" t="s">
        <v>42</v>
      </c>
      <c r="G42" s="2" t="s">
        <v>22</v>
      </c>
      <c r="H42" s="2" t="s">
        <v>37</v>
      </c>
      <c r="I42" s="2">
        <v>2024</v>
      </c>
      <c r="J42" s="2" t="s">
        <v>24</v>
      </c>
      <c r="K42" s="2" t="s">
        <v>25</v>
      </c>
      <c r="L42" s="2">
        <v>634.5</v>
      </c>
      <c r="M42" s="2" t="s">
        <v>27</v>
      </c>
      <c r="N42" s="2" t="s">
        <v>27</v>
      </c>
      <c r="O42" s="2">
        <v>301.83999999999997</v>
      </c>
      <c r="P42" s="2" t="s">
        <v>28</v>
      </c>
      <c r="Q42" s="4">
        <v>45439</v>
      </c>
      <c r="R42" s="4">
        <v>45442</v>
      </c>
      <c r="S42" s="2">
        <v>96335829</v>
      </c>
      <c r="T42" s="2">
        <v>134869</v>
      </c>
      <c r="V42" s="5">
        <f t="shared" si="0"/>
        <v>191517.47999999998</v>
      </c>
    </row>
    <row r="43" spans="2:22" x14ac:dyDescent="0.2">
      <c r="B43" s="2">
        <v>816315925</v>
      </c>
      <c r="C43" s="2">
        <v>5937255</v>
      </c>
      <c r="D43" s="2" t="s">
        <v>46</v>
      </c>
      <c r="E43" s="2" t="s">
        <v>20</v>
      </c>
      <c r="F43" s="2" t="s">
        <v>42</v>
      </c>
      <c r="G43" s="2" t="s">
        <v>22</v>
      </c>
      <c r="H43" s="2" t="s">
        <v>39</v>
      </c>
      <c r="I43" s="2">
        <v>2024</v>
      </c>
      <c r="J43" s="2" t="s">
        <v>24</v>
      </c>
      <c r="K43" s="2" t="s">
        <v>25</v>
      </c>
      <c r="L43" s="2">
        <v>612.9</v>
      </c>
      <c r="M43" s="2" t="s">
        <v>27</v>
      </c>
      <c r="N43" s="2" t="s">
        <v>27</v>
      </c>
      <c r="O43" s="3">
        <v>961.96299999999997</v>
      </c>
      <c r="P43" s="2" t="s">
        <v>28</v>
      </c>
      <c r="Q43" s="4">
        <v>45393</v>
      </c>
      <c r="R43" s="4">
        <v>45417</v>
      </c>
      <c r="S43" s="2">
        <v>96306721</v>
      </c>
      <c r="T43" s="2">
        <v>134592</v>
      </c>
      <c r="V43" s="5">
        <f t="shared" si="0"/>
        <v>589587.12269999995</v>
      </c>
    </row>
    <row r="44" spans="2:22" x14ac:dyDescent="0.2">
      <c r="B44" s="2">
        <v>816278716</v>
      </c>
      <c r="C44" s="2">
        <v>5926430</v>
      </c>
      <c r="D44" s="2" t="s">
        <v>41</v>
      </c>
      <c r="E44" s="2" t="s">
        <v>20</v>
      </c>
      <c r="F44" s="2" t="s">
        <v>42</v>
      </c>
      <c r="G44" s="2" t="s">
        <v>22</v>
      </c>
      <c r="H44" s="2" t="s">
        <v>37</v>
      </c>
      <c r="I44" s="2">
        <v>2024</v>
      </c>
      <c r="J44" s="2" t="s">
        <v>24</v>
      </c>
      <c r="K44" s="2" t="s">
        <v>43</v>
      </c>
      <c r="L44" s="2">
        <v>634.5</v>
      </c>
      <c r="M44" s="2" t="s">
        <v>27</v>
      </c>
      <c r="N44" s="2" t="s">
        <v>27</v>
      </c>
      <c r="O44" s="3">
        <v>500.76499999999999</v>
      </c>
      <c r="P44" s="2" t="s">
        <v>28</v>
      </c>
      <c r="Q44" s="4">
        <v>45384</v>
      </c>
      <c r="R44" s="4">
        <v>45459</v>
      </c>
      <c r="S44" s="2">
        <v>96350018</v>
      </c>
      <c r="T44" s="2">
        <v>135059</v>
      </c>
      <c r="V44" s="5">
        <f t="shared" si="0"/>
        <v>317735.39250000002</v>
      </c>
    </row>
    <row r="45" spans="2:22" x14ac:dyDescent="0.2">
      <c r="B45" s="2">
        <v>816114029</v>
      </c>
      <c r="C45" s="2">
        <v>5869201</v>
      </c>
      <c r="D45" s="2" t="s">
        <v>41</v>
      </c>
      <c r="E45" s="2" t="s">
        <v>20</v>
      </c>
      <c r="F45" s="2" t="s">
        <v>42</v>
      </c>
      <c r="G45" s="2" t="s">
        <v>22</v>
      </c>
      <c r="H45" s="2" t="s">
        <v>37</v>
      </c>
      <c r="I45" s="2">
        <v>2024</v>
      </c>
      <c r="J45" s="2" t="s">
        <v>24</v>
      </c>
      <c r="K45" s="2" t="s">
        <v>25</v>
      </c>
      <c r="L45" s="2">
        <v>634.5</v>
      </c>
      <c r="M45" s="2" t="s">
        <v>27</v>
      </c>
      <c r="N45" s="2" t="s">
        <v>27</v>
      </c>
      <c r="O45" s="3">
        <v>151.99600000000001</v>
      </c>
      <c r="P45" s="2" t="s">
        <v>28</v>
      </c>
      <c r="Q45" s="4">
        <v>45342</v>
      </c>
      <c r="R45" s="4">
        <v>45440</v>
      </c>
      <c r="S45" s="2">
        <v>96335597</v>
      </c>
      <c r="T45" s="2">
        <v>134868</v>
      </c>
      <c r="V45" s="5">
        <f t="shared" si="0"/>
        <v>96441.462</v>
      </c>
    </row>
    <row r="46" spans="2:22" x14ac:dyDescent="0.2">
      <c r="B46" s="2">
        <v>816114011</v>
      </c>
      <c r="C46" s="2">
        <v>5869198</v>
      </c>
      <c r="D46" s="2" t="s">
        <v>41</v>
      </c>
      <c r="E46" s="2" t="s">
        <v>20</v>
      </c>
      <c r="F46" s="2" t="s">
        <v>42</v>
      </c>
      <c r="G46" s="2" t="s">
        <v>22</v>
      </c>
      <c r="H46" s="2" t="s">
        <v>37</v>
      </c>
      <c r="I46" s="2">
        <v>2024</v>
      </c>
      <c r="J46" s="2" t="s">
        <v>24</v>
      </c>
      <c r="K46" s="2" t="s">
        <v>43</v>
      </c>
      <c r="L46" s="2">
        <v>634.5</v>
      </c>
      <c r="M46" s="2" t="s">
        <v>27</v>
      </c>
      <c r="N46" s="2" t="s">
        <v>27</v>
      </c>
      <c r="O46" s="3">
        <v>500.76499999999999</v>
      </c>
      <c r="P46" s="2" t="s">
        <v>28</v>
      </c>
      <c r="Q46" s="4">
        <v>45342</v>
      </c>
      <c r="R46" s="4">
        <v>45459</v>
      </c>
      <c r="S46" s="2">
        <v>96350019</v>
      </c>
      <c r="T46" s="2">
        <v>135060</v>
      </c>
      <c r="V46" s="5">
        <f t="shared" si="0"/>
        <v>317735.39250000002</v>
      </c>
    </row>
    <row r="47" spans="2:22" x14ac:dyDescent="0.2">
      <c r="B47" s="2">
        <v>816113989</v>
      </c>
      <c r="C47" s="2">
        <v>5869195</v>
      </c>
      <c r="D47" s="2" t="s">
        <v>41</v>
      </c>
      <c r="E47" s="2" t="s">
        <v>20</v>
      </c>
      <c r="F47" s="2" t="s">
        <v>42</v>
      </c>
      <c r="G47" s="2" t="s">
        <v>22</v>
      </c>
      <c r="H47" s="2" t="s">
        <v>37</v>
      </c>
      <c r="I47" s="2">
        <v>2024</v>
      </c>
      <c r="J47" s="2" t="s">
        <v>24</v>
      </c>
      <c r="K47" s="2" t="s">
        <v>43</v>
      </c>
      <c r="L47" s="2">
        <v>634.5</v>
      </c>
      <c r="M47" s="2" t="s">
        <v>27</v>
      </c>
      <c r="N47" s="2" t="s">
        <v>26</v>
      </c>
      <c r="O47" s="3">
        <v>499.01799999999997</v>
      </c>
      <c r="P47" s="2" t="s">
        <v>28</v>
      </c>
      <c r="Q47" s="4">
        <v>45342</v>
      </c>
      <c r="R47" s="4">
        <v>45483</v>
      </c>
      <c r="S47" s="2">
        <v>96375257</v>
      </c>
      <c r="T47" s="2">
        <v>135482</v>
      </c>
      <c r="V47" s="5">
        <f t="shared" si="0"/>
        <v>316626.92099999997</v>
      </c>
    </row>
    <row r="48" spans="2:22" x14ac:dyDescent="0.2">
      <c r="B48" s="2">
        <v>816080971</v>
      </c>
      <c r="C48" s="2">
        <v>5857702</v>
      </c>
      <c r="D48" s="2" t="s">
        <v>46</v>
      </c>
      <c r="E48" s="2" t="s">
        <v>20</v>
      </c>
      <c r="F48" s="2" t="s">
        <v>42</v>
      </c>
      <c r="G48" s="2" t="s">
        <v>22</v>
      </c>
      <c r="H48" s="2" t="s">
        <v>39</v>
      </c>
      <c r="I48" s="2">
        <v>2024</v>
      </c>
      <c r="J48" s="2" t="s">
        <v>24</v>
      </c>
      <c r="K48" s="2" t="s">
        <v>25</v>
      </c>
      <c r="L48" s="2">
        <v>612.9</v>
      </c>
      <c r="M48" s="2" t="s">
        <v>27</v>
      </c>
      <c r="N48" s="2" t="s">
        <v>27</v>
      </c>
      <c r="O48" s="3">
        <v>507.27199999999999</v>
      </c>
      <c r="P48" s="2" t="s">
        <v>28</v>
      </c>
      <c r="Q48" s="4">
        <v>45335</v>
      </c>
      <c r="R48" s="4">
        <v>45392</v>
      </c>
      <c r="S48" s="2">
        <v>96279605</v>
      </c>
      <c r="T48" s="2">
        <v>134312</v>
      </c>
      <c r="V48" s="5">
        <f t="shared" si="0"/>
        <v>310907.00880000001</v>
      </c>
    </row>
    <row r="49" spans="2:22" x14ac:dyDescent="0.2">
      <c r="B49" s="2">
        <v>815998820</v>
      </c>
      <c r="C49" s="2">
        <v>5830079</v>
      </c>
      <c r="D49" s="2" t="s">
        <v>46</v>
      </c>
      <c r="E49" s="2" t="s">
        <v>20</v>
      </c>
      <c r="F49" s="2" t="s">
        <v>42</v>
      </c>
      <c r="G49" s="2" t="s">
        <v>22</v>
      </c>
      <c r="H49" s="2" t="s">
        <v>39</v>
      </c>
      <c r="I49" s="2">
        <v>2024</v>
      </c>
      <c r="J49" s="2" t="s">
        <v>24</v>
      </c>
      <c r="K49" s="2" t="s">
        <v>25</v>
      </c>
      <c r="L49" s="2">
        <v>612.9</v>
      </c>
      <c r="M49" s="2" t="s">
        <v>27</v>
      </c>
      <c r="N49" s="2" t="s">
        <v>27</v>
      </c>
      <c r="O49" s="3">
        <v>510.29599999999999</v>
      </c>
      <c r="P49" s="2" t="s">
        <v>28</v>
      </c>
      <c r="Q49" s="4">
        <v>45313</v>
      </c>
      <c r="R49" s="4">
        <v>45365</v>
      </c>
      <c r="S49" s="2">
        <v>96248232</v>
      </c>
      <c r="T49" s="2">
        <v>133948</v>
      </c>
      <c r="V49" s="5">
        <f t="shared" si="0"/>
        <v>312760.41839999997</v>
      </c>
    </row>
    <row r="50" spans="2:22" x14ac:dyDescent="0.2">
      <c r="B50" s="2">
        <v>815998818</v>
      </c>
      <c r="C50" s="2">
        <v>5830074</v>
      </c>
      <c r="D50" s="2" t="s">
        <v>46</v>
      </c>
      <c r="E50" s="2" t="s">
        <v>20</v>
      </c>
      <c r="F50" s="2" t="s">
        <v>42</v>
      </c>
      <c r="G50" s="2" t="s">
        <v>22</v>
      </c>
      <c r="H50" s="2" t="s">
        <v>39</v>
      </c>
      <c r="I50" s="2">
        <v>2024</v>
      </c>
      <c r="J50" s="2" t="s">
        <v>24</v>
      </c>
      <c r="K50" s="2" t="s">
        <v>25</v>
      </c>
      <c r="L50" s="2">
        <v>612.9</v>
      </c>
      <c r="M50" s="2" t="s">
        <v>27</v>
      </c>
      <c r="N50" s="2" t="s">
        <v>27</v>
      </c>
      <c r="O50" s="3">
        <v>963.41800000000001</v>
      </c>
      <c r="P50" s="2" t="s">
        <v>28</v>
      </c>
      <c r="Q50" s="4">
        <v>45313</v>
      </c>
      <c r="R50" s="4">
        <v>45406</v>
      </c>
      <c r="S50" s="2">
        <v>96295698</v>
      </c>
      <c r="T50" s="2">
        <v>134455</v>
      </c>
      <c r="V50" s="5">
        <f t="shared" si="0"/>
        <v>590478.8922</v>
      </c>
    </row>
    <row r="51" spans="2:22" x14ac:dyDescent="0.2">
      <c r="B51" s="2">
        <v>815822512</v>
      </c>
      <c r="C51" s="2">
        <v>5775050</v>
      </c>
      <c r="D51" s="2" t="s">
        <v>47</v>
      </c>
      <c r="E51" s="2" t="s">
        <v>20</v>
      </c>
      <c r="F51" s="2" t="s">
        <v>42</v>
      </c>
      <c r="G51" s="2" t="s">
        <v>22</v>
      </c>
      <c r="H51" s="2" t="s">
        <v>48</v>
      </c>
      <c r="I51" s="2">
        <v>2023</v>
      </c>
      <c r="J51" s="2" t="s">
        <v>24</v>
      </c>
      <c r="K51" s="2" t="s">
        <v>25</v>
      </c>
      <c r="L51" s="2">
        <v>620</v>
      </c>
      <c r="M51" s="2" t="s">
        <v>27</v>
      </c>
      <c r="N51" s="2" t="s">
        <v>27</v>
      </c>
      <c r="O51" s="3">
        <v>488.81299999999999</v>
      </c>
      <c r="P51" s="2" t="s">
        <v>49</v>
      </c>
      <c r="Q51" s="4">
        <v>45264</v>
      </c>
      <c r="R51" s="4">
        <v>45348</v>
      </c>
      <c r="S51" s="2">
        <v>96230166</v>
      </c>
      <c r="T51" s="2">
        <v>133659</v>
      </c>
      <c r="V51" s="5">
        <f t="shared" si="0"/>
        <v>303064.06</v>
      </c>
    </row>
    <row r="52" spans="2:22" x14ac:dyDescent="0.2">
      <c r="B52" s="2">
        <v>815822511</v>
      </c>
      <c r="C52" s="2">
        <v>5775049</v>
      </c>
      <c r="D52" s="2" t="s">
        <v>47</v>
      </c>
      <c r="E52" s="2" t="s">
        <v>20</v>
      </c>
      <c r="F52" s="2" t="s">
        <v>42</v>
      </c>
      <c r="G52" s="2" t="s">
        <v>22</v>
      </c>
      <c r="H52" s="2" t="s">
        <v>48</v>
      </c>
      <c r="I52" s="2">
        <v>2023</v>
      </c>
      <c r="J52" s="2" t="s">
        <v>24</v>
      </c>
      <c r="K52" s="2" t="s">
        <v>25</v>
      </c>
      <c r="L52" s="2">
        <v>620</v>
      </c>
      <c r="M52" s="2" t="s">
        <v>27</v>
      </c>
      <c r="N52" s="2" t="s">
        <v>27</v>
      </c>
      <c r="O52" s="2">
        <v>514.54</v>
      </c>
      <c r="P52" s="2" t="s">
        <v>49</v>
      </c>
      <c r="Q52" s="4">
        <v>45264</v>
      </c>
      <c r="R52" s="4">
        <v>45314</v>
      </c>
      <c r="S52" s="2">
        <v>96190773</v>
      </c>
      <c r="T52" s="2">
        <v>133119</v>
      </c>
      <c r="V52" s="5">
        <f t="shared" si="0"/>
        <v>319014.8</v>
      </c>
    </row>
    <row r="53" spans="2:22" x14ac:dyDescent="0.2">
      <c r="B53" s="2">
        <v>815822508</v>
      </c>
      <c r="C53" s="2">
        <v>5775048</v>
      </c>
      <c r="D53" s="2" t="s">
        <v>47</v>
      </c>
      <c r="E53" s="2" t="s">
        <v>20</v>
      </c>
      <c r="F53" s="2" t="s">
        <v>42</v>
      </c>
      <c r="G53" s="2" t="s">
        <v>22</v>
      </c>
      <c r="H53" s="2" t="s">
        <v>48</v>
      </c>
      <c r="I53" s="2">
        <v>2023</v>
      </c>
      <c r="J53" s="2" t="s">
        <v>24</v>
      </c>
      <c r="K53" s="2" t="s">
        <v>25</v>
      </c>
      <c r="L53" s="2">
        <v>620</v>
      </c>
      <c r="M53" s="2" t="s">
        <v>27</v>
      </c>
      <c r="N53" s="2" t="s">
        <v>27</v>
      </c>
      <c r="O53" s="2">
        <v>514.54</v>
      </c>
      <c r="P53" s="2" t="s">
        <v>49</v>
      </c>
      <c r="Q53" s="4">
        <v>45264</v>
      </c>
      <c r="R53" s="4">
        <v>45314</v>
      </c>
      <c r="S53" s="2">
        <v>96190777</v>
      </c>
      <c r="T53" s="2">
        <v>133120</v>
      </c>
      <c r="V53" s="5">
        <f t="shared" si="0"/>
        <v>319014.8</v>
      </c>
    </row>
    <row r="54" spans="2:22" x14ac:dyDescent="0.2">
      <c r="B54" s="2">
        <v>815822504</v>
      </c>
      <c r="C54" s="2">
        <v>5775043</v>
      </c>
      <c r="D54" s="2" t="s">
        <v>47</v>
      </c>
      <c r="E54" s="2" t="s">
        <v>20</v>
      </c>
      <c r="F54" s="2" t="s">
        <v>42</v>
      </c>
      <c r="G54" s="2" t="s">
        <v>22</v>
      </c>
      <c r="H54" s="2" t="s">
        <v>48</v>
      </c>
      <c r="I54" s="2">
        <v>2023</v>
      </c>
      <c r="J54" s="2" t="s">
        <v>24</v>
      </c>
      <c r="K54" s="2" t="s">
        <v>25</v>
      </c>
      <c r="L54" s="2">
        <v>620</v>
      </c>
      <c r="M54" s="2" t="s">
        <v>27</v>
      </c>
      <c r="N54" s="2" t="s">
        <v>27</v>
      </c>
      <c r="O54" s="3">
        <v>488.81299999999999</v>
      </c>
      <c r="P54" s="2" t="s">
        <v>49</v>
      </c>
      <c r="Q54" s="4">
        <v>45264</v>
      </c>
      <c r="R54" s="4">
        <v>45348</v>
      </c>
      <c r="S54" s="2">
        <v>96230165</v>
      </c>
      <c r="T54" s="2">
        <v>133658</v>
      </c>
      <c r="V54" s="5">
        <f t="shared" si="0"/>
        <v>303064.06</v>
      </c>
    </row>
    <row r="55" spans="2:22" x14ac:dyDescent="0.2">
      <c r="B55" s="2">
        <v>815818274</v>
      </c>
      <c r="C55" s="2">
        <v>5774078</v>
      </c>
      <c r="D55" s="2" t="s">
        <v>50</v>
      </c>
      <c r="E55" s="2" t="s">
        <v>20</v>
      </c>
      <c r="F55" s="2" t="s">
        <v>42</v>
      </c>
      <c r="G55" s="2" t="s">
        <v>22</v>
      </c>
      <c r="H55" s="2" t="s">
        <v>48</v>
      </c>
      <c r="I55" s="2">
        <v>2023</v>
      </c>
      <c r="J55" s="2" t="s">
        <v>24</v>
      </c>
      <c r="K55" s="2" t="s">
        <v>25</v>
      </c>
      <c r="L55" s="2">
        <v>620</v>
      </c>
      <c r="M55" s="2" t="s">
        <v>27</v>
      </c>
      <c r="N55" s="2" t="s">
        <v>27</v>
      </c>
      <c r="O55" s="2">
        <v>508.56</v>
      </c>
      <c r="P55" s="2" t="s">
        <v>49</v>
      </c>
      <c r="Q55" s="4">
        <v>45260</v>
      </c>
      <c r="R55" s="4">
        <v>45301</v>
      </c>
      <c r="S55" s="2">
        <v>96176299</v>
      </c>
      <c r="T55" s="2">
        <v>132969</v>
      </c>
      <c r="V55" s="5">
        <f t="shared" si="0"/>
        <v>315307.2</v>
      </c>
    </row>
    <row r="56" spans="2:22" x14ac:dyDescent="0.2">
      <c r="B56" s="2">
        <v>815818275</v>
      </c>
      <c r="C56" s="2">
        <v>5774080</v>
      </c>
      <c r="D56" s="2" t="s">
        <v>50</v>
      </c>
      <c r="E56" s="2" t="s">
        <v>20</v>
      </c>
      <c r="F56" s="2" t="s">
        <v>42</v>
      </c>
      <c r="G56" s="2" t="s">
        <v>22</v>
      </c>
      <c r="H56" s="2" t="s">
        <v>48</v>
      </c>
      <c r="I56" s="2">
        <v>2023</v>
      </c>
      <c r="J56" s="2" t="s">
        <v>24</v>
      </c>
      <c r="K56" s="2" t="s">
        <v>25</v>
      </c>
      <c r="L56" s="2">
        <v>620</v>
      </c>
      <c r="M56" s="2" t="s">
        <v>27</v>
      </c>
      <c r="N56" s="2" t="s">
        <v>27</v>
      </c>
      <c r="O56" s="3">
        <v>496.82400000000001</v>
      </c>
      <c r="P56" s="2" t="s">
        <v>49</v>
      </c>
      <c r="Q56" s="4">
        <v>45260</v>
      </c>
      <c r="R56" s="4">
        <v>45314</v>
      </c>
      <c r="S56" s="2">
        <v>96190778</v>
      </c>
      <c r="T56" s="2">
        <v>133121</v>
      </c>
      <c r="V56" s="5">
        <f t="shared" si="0"/>
        <v>308030.88</v>
      </c>
    </row>
    <row r="57" spans="2:22" x14ac:dyDescent="0.2">
      <c r="B57" s="2">
        <v>815818273</v>
      </c>
      <c r="C57" s="2">
        <v>5774077</v>
      </c>
      <c r="D57" s="2" t="s">
        <v>50</v>
      </c>
      <c r="E57" s="2" t="s">
        <v>20</v>
      </c>
      <c r="F57" s="2" t="s">
        <v>42</v>
      </c>
      <c r="G57" s="2" t="s">
        <v>22</v>
      </c>
      <c r="H57" s="2" t="s">
        <v>48</v>
      </c>
      <c r="I57" s="2">
        <v>2023</v>
      </c>
      <c r="J57" s="2" t="s">
        <v>24</v>
      </c>
      <c r="K57" s="2" t="s">
        <v>25</v>
      </c>
      <c r="L57" s="2">
        <v>620</v>
      </c>
      <c r="M57" s="2" t="s">
        <v>27</v>
      </c>
      <c r="N57" s="2" t="s">
        <v>27</v>
      </c>
      <c r="O57" s="2">
        <v>508.56</v>
      </c>
      <c r="P57" s="2" t="s">
        <v>49</v>
      </c>
      <c r="Q57" s="4">
        <v>45260</v>
      </c>
      <c r="R57" s="4">
        <v>45286</v>
      </c>
      <c r="S57" s="2">
        <v>96165640</v>
      </c>
      <c r="T57" s="2">
        <v>132731</v>
      </c>
      <c r="V57" s="5">
        <f t="shared" si="0"/>
        <v>315307.2</v>
      </c>
    </row>
    <row r="58" spans="2:22" x14ac:dyDescent="0.2">
      <c r="B58" s="2">
        <v>815767151</v>
      </c>
      <c r="C58" s="2">
        <v>5758549</v>
      </c>
      <c r="D58" s="2" t="s">
        <v>50</v>
      </c>
      <c r="E58" s="2" t="s">
        <v>20</v>
      </c>
      <c r="F58" s="2" t="s">
        <v>42</v>
      </c>
      <c r="G58" s="2" t="s">
        <v>22</v>
      </c>
      <c r="H58" s="2" t="s">
        <v>48</v>
      </c>
      <c r="I58" s="2">
        <v>2023</v>
      </c>
      <c r="J58" s="2" t="s">
        <v>24</v>
      </c>
      <c r="K58" s="2" t="s">
        <v>25</v>
      </c>
      <c r="L58" s="2">
        <v>620</v>
      </c>
      <c r="M58" s="2" t="s">
        <v>27</v>
      </c>
      <c r="N58" s="2" t="s">
        <v>27</v>
      </c>
      <c r="O58" s="2">
        <v>508.56</v>
      </c>
      <c r="P58" s="2" t="s">
        <v>49</v>
      </c>
      <c r="Q58" s="4">
        <v>45251</v>
      </c>
      <c r="R58" s="4">
        <v>45286</v>
      </c>
      <c r="S58" s="2">
        <v>96165638</v>
      </c>
      <c r="T58" s="2">
        <v>132730</v>
      </c>
      <c r="V58" s="5">
        <f t="shared" si="0"/>
        <v>315307.2</v>
      </c>
    </row>
    <row r="59" spans="2:22" x14ac:dyDescent="0.2">
      <c r="B59" s="2">
        <v>815617501</v>
      </c>
      <c r="C59" s="2">
        <v>5709219</v>
      </c>
      <c r="D59" s="2" t="s">
        <v>51</v>
      </c>
      <c r="E59" s="2" t="s">
        <v>20</v>
      </c>
      <c r="F59" s="2" t="s">
        <v>42</v>
      </c>
      <c r="G59" s="2" t="s">
        <v>22</v>
      </c>
      <c r="H59" s="2" t="s">
        <v>52</v>
      </c>
      <c r="I59" s="2">
        <v>2023</v>
      </c>
      <c r="J59" s="2" t="s">
        <v>24</v>
      </c>
      <c r="K59" s="2" t="s">
        <v>25</v>
      </c>
      <c r="L59" s="2">
        <v>580</v>
      </c>
      <c r="M59" s="2" t="s">
        <v>27</v>
      </c>
      <c r="N59" s="2" t="s">
        <v>27</v>
      </c>
      <c r="O59" s="2">
        <v>699.72</v>
      </c>
      <c r="P59" s="2" t="s">
        <v>49</v>
      </c>
      <c r="Q59" s="4">
        <v>45211</v>
      </c>
      <c r="R59" s="4">
        <v>45224</v>
      </c>
      <c r="S59" s="2">
        <v>96094597</v>
      </c>
      <c r="T59" s="2">
        <v>131876</v>
      </c>
      <c r="V59" s="5">
        <f t="shared" si="0"/>
        <v>405837.60000000003</v>
      </c>
    </row>
    <row r="60" spans="2:22" x14ac:dyDescent="0.2">
      <c r="B60" s="2">
        <v>815584243</v>
      </c>
      <c r="C60" s="2">
        <v>5700326</v>
      </c>
      <c r="D60" s="2" t="s">
        <v>51</v>
      </c>
      <c r="E60" s="2" t="s">
        <v>20</v>
      </c>
      <c r="F60" s="2" t="s">
        <v>42</v>
      </c>
      <c r="G60" s="2" t="s">
        <v>22</v>
      </c>
      <c r="H60" s="2" t="s">
        <v>52</v>
      </c>
      <c r="I60" s="2">
        <v>2023</v>
      </c>
      <c r="J60" s="2" t="s">
        <v>24</v>
      </c>
      <c r="K60" s="2" t="s">
        <v>25</v>
      </c>
      <c r="L60" s="2">
        <v>580</v>
      </c>
      <c r="M60" s="2" t="s">
        <v>27</v>
      </c>
      <c r="N60" s="2" t="s">
        <v>27</v>
      </c>
      <c r="O60" s="2">
        <v>701.68</v>
      </c>
      <c r="P60" s="2" t="s">
        <v>49</v>
      </c>
      <c r="Q60" s="4">
        <v>45203</v>
      </c>
      <c r="R60" s="4">
        <v>45224</v>
      </c>
      <c r="S60" s="2">
        <v>96094596</v>
      </c>
      <c r="T60" s="2">
        <v>131875</v>
      </c>
      <c r="V60" s="5">
        <f t="shared" si="0"/>
        <v>406974.39999999997</v>
      </c>
    </row>
    <row r="61" spans="2:22" x14ac:dyDescent="0.2">
      <c r="B61" s="2">
        <v>815379032</v>
      </c>
      <c r="C61" s="2">
        <v>5634971</v>
      </c>
      <c r="D61" s="2" t="s">
        <v>53</v>
      </c>
      <c r="E61" s="2" t="s">
        <v>20</v>
      </c>
      <c r="F61" s="2" t="s">
        <v>42</v>
      </c>
      <c r="G61" s="2" t="s">
        <v>22</v>
      </c>
      <c r="H61" s="2" t="s">
        <v>23</v>
      </c>
      <c r="I61" s="2">
        <v>2023</v>
      </c>
      <c r="J61" s="2" t="s">
        <v>24</v>
      </c>
      <c r="K61" s="2" t="s">
        <v>25</v>
      </c>
      <c r="L61" s="2">
        <v>545</v>
      </c>
      <c r="M61" s="2" t="s">
        <v>27</v>
      </c>
      <c r="N61" s="2" t="s">
        <v>27</v>
      </c>
      <c r="O61" s="3">
        <v>509.33600000000001</v>
      </c>
      <c r="P61" s="2" t="s">
        <v>49</v>
      </c>
      <c r="Q61" s="4">
        <v>45154</v>
      </c>
      <c r="R61" s="4">
        <v>45176</v>
      </c>
      <c r="S61" s="2">
        <v>96039813</v>
      </c>
      <c r="T61" s="2">
        <v>131293</v>
      </c>
      <c r="V61" s="5">
        <f t="shared" si="0"/>
        <v>277588.12</v>
      </c>
    </row>
    <row r="62" spans="2:22" x14ac:dyDescent="0.2">
      <c r="V62" s="5"/>
    </row>
    <row r="63" spans="2:22" x14ac:dyDescent="0.2">
      <c r="U63" t="s">
        <v>55</v>
      </c>
      <c r="V63" s="5">
        <f>SUM(V3:V61)</f>
        <v>19610122.810859997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Bazua</dc:creator>
  <cp:lastModifiedBy>Eduardo Bazua</cp:lastModifiedBy>
  <dcterms:created xsi:type="dcterms:W3CDTF">2026-07-31T03:27:46Z</dcterms:created>
  <dcterms:modified xsi:type="dcterms:W3CDTF">2026-07-31T03:36:51Z</dcterms:modified>
</cp:coreProperties>
</file>